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 estimation" sheetId="1" state="visible" r:id="rId1"/>
    <sheet xmlns:r="http://schemas.openxmlformats.org/officeDocument/2006/relationships" name="FCI" sheetId="2" state="visible" r:id="rId2"/>
    <sheet xmlns:r="http://schemas.openxmlformats.org/officeDocument/2006/relationships" name="Détail chiff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u val="single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B2640"/>
      </patternFill>
    </fill>
    <fill>
      <patternFill patternType="solid">
        <fgColor rgb="00D9D2F5"/>
      </patternFill>
    </fill>
    <fill>
      <patternFill patternType="solid">
        <fgColor rgb="00EDEAF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4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0" customWidth="1" min="8" max="8"/>
    <col width="14" customWidth="1" min="9" max="9"/>
    <col width="14" customWidth="1" min="10" max="10"/>
    <col width="13" customWidth="1" min="11" max="11"/>
    <col width="9" customWidth="1" min="12" max="12"/>
  </cols>
  <sheetData>
    <row r="1">
      <c r="A1" s="13" t="inlineStr">
        <is>
          <t>KHAZNA ORY01 — Courants faibles base vie &amp; chantier — Estimation PROSYB (hypothèse optimiste) du 16/10/2026</t>
        </is>
      </c>
    </row>
    <row r="2" ht="45" customHeight="1">
      <c r="A2" s="14" t="inlineStr">
        <is>
          <t>Taux : monteur 40 €/h, technicien CFA 60 €/h, technicien SSI 62 €/h, BE 75 €/h. PV = PR × 1,04 / (1 − marge − 8 %) : marge 20 % (VDI, AV, vidéo, GTB) → k 1,4444 ; marge 15 % (SSI) → k 1,3506. Modèle des FCI PROSYB (Vaires, ECLAIRION, SAFRAN).</t>
        </is>
      </c>
    </row>
    <row r="4">
      <c r="A4" s="15" t="inlineStr">
        <is>
          <t>Lot</t>
        </is>
      </c>
      <c r="B4" s="15" t="inlineStr">
        <is>
          <t>Désignation</t>
        </is>
      </c>
      <c r="C4" s="15" t="inlineStr">
        <is>
          <t>Fournitures PR</t>
        </is>
      </c>
      <c r="D4" s="15" t="inlineStr">
        <is>
          <t>MO PR</t>
        </is>
      </c>
      <c r="E4" s="15" t="inlineStr">
        <is>
          <t>Heures monteur</t>
        </is>
      </c>
      <c r="F4" s="15" t="inlineStr">
        <is>
          <t>Heures tech CFA</t>
        </is>
      </c>
      <c r="G4" s="15" t="inlineStr">
        <is>
          <t>Heures tech SSI</t>
        </is>
      </c>
      <c r="H4" s="15" t="inlineStr">
        <is>
          <t>Heures BE</t>
        </is>
      </c>
      <c r="I4" s="15" t="inlineStr">
        <is>
          <t>Total PR</t>
        </is>
      </c>
      <c r="J4" s="15" t="inlineStr">
        <is>
          <t>Total PV HT</t>
        </is>
      </c>
      <c r="K4" s="15" t="inlineStr">
        <is>
          <t>Marge + frais (12 %)</t>
        </is>
      </c>
      <c r="L4" s="15" t="inlineStr">
        <is>
          <t>Taux / PV</t>
        </is>
      </c>
    </row>
    <row r="5">
      <c r="A5" t="inlineStr">
        <is>
          <t>4</t>
        </is>
      </c>
      <c r="B5" t="inlineStr">
        <is>
          <t>Informatique, audiovisuel, affichage</t>
        </is>
      </c>
      <c r="C5" s="16" t="n">
        <v>159622.89</v>
      </c>
      <c r="D5" s="16" t="n">
        <v>50550</v>
      </c>
      <c r="E5" s="16" t="n">
        <v>885</v>
      </c>
      <c r="F5" s="16" t="n">
        <v>207.5</v>
      </c>
      <c r="G5" s="16" t="n">
        <v>0</v>
      </c>
      <c r="H5" s="16" t="n">
        <v>36</v>
      </c>
      <c r="I5" s="16" t="n">
        <v>210172.89</v>
      </c>
      <c r="J5" s="16" t="n">
        <v>303582.95</v>
      </c>
      <c r="K5" s="16" t="n">
        <v>93410.06</v>
      </c>
      <c r="L5" s="17" t="n">
        <v>0.3077</v>
      </c>
    </row>
    <row r="6">
      <c r="A6" t="inlineStr">
        <is>
          <t>5</t>
        </is>
      </c>
      <c r="B6" t="inlineStr">
        <is>
          <t>Sécurité SSI</t>
        </is>
      </c>
      <c r="C6" s="16" t="n">
        <v>29103.4</v>
      </c>
      <c r="D6" s="16" t="n">
        <v>17134</v>
      </c>
      <c r="E6" s="16" t="n">
        <v>262.6</v>
      </c>
      <c r="F6" s="16" t="n">
        <v>0</v>
      </c>
      <c r="G6" s="16" t="n">
        <v>90</v>
      </c>
      <c r="H6" s="16" t="n">
        <v>14</v>
      </c>
      <c r="I6" s="16" t="n">
        <v>46237.4</v>
      </c>
      <c r="J6" s="16" t="n">
        <v>62450.51</v>
      </c>
      <c r="K6" s="16" t="n">
        <v>16213.11</v>
      </c>
      <c r="L6" s="17" t="n">
        <v>0.2596</v>
      </c>
    </row>
    <row r="7">
      <c r="A7" t="inlineStr">
        <is>
          <t>6</t>
        </is>
      </c>
      <c r="B7" t="inlineStr">
        <is>
          <t>Vidéosurveillance</t>
        </is>
      </c>
      <c r="C7" s="16" t="n">
        <v>24979.41</v>
      </c>
      <c r="D7" s="16" t="n">
        <v>13220</v>
      </c>
      <c r="E7" s="16" t="n">
        <v>182</v>
      </c>
      <c r="F7" s="16" t="n">
        <v>74</v>
      </c>
      <c r="G7" s="16" t="n">
        <v>0</v>
      </c>
      <c r="H7" s="16" t="n">
        <v>20</v>
      </c>
      <c r="I7" s="16" t="n">
        <v>38199.41</v>
      </c>
      <c r="J7" s="16" t="n">
        <v>55176.92</v>
      </c>
      <c r="K7" s="16" t="n">
        <v>16977.51</v>
      </c>
      <c r="L7" s="17" t="n">
        <v>0.3077</v>
      </c>
    </row>
    <row r="8">
      <c r="A8" t="inlineStr">
        <is>
          <t>7</t>
        </is>
      </c>
      <c r="B8" t="inlineStr">
        <is>
          <t>GTB / GTE (provisoire, offre Aetherys attendue)</t>
        </is>
      </c>
      <c r="C8" s="16" t="n">
        <v>4760</v>
      </c>
      <c r="D8" s="16" t="n">
        <v>5730</v>
      </c>
      <c r="E8" s="16" t="n">
        <v>24</v>
      </c>
      <c r="F8" s="16" t="n">
        <v>59.5</v>
      </c>
      <c r="G8" s="16" t="n">
        <v>0</v>
      </c>
      <c r="H8" s="16" t="n">
        <v>16</v>
      </c>
      <c r="I8" s="16" t="n">
        <v>10490</v>
      </c>
      <c r="J8" s="16" t="n">
        <v>15152.2</v>
      </c>
      <c r="K8" s="16" t="n">
        <v>4662.2</v>
      </c>
      <c r="L8" s="17" t="n">
        <v>0.3077</v>
      </c>
    </row>
    <row r="9">
      <c r="A9" s="18" t="inlineStr"/>
      <c r="B9" s="18" t="inlineStr">
        <is>
          <t>TOTAL</t>
        </is>
      </c>
      <c r="C9" s="19" t="n">
        <v>218465.7</v>
      </c>
      <c r="D9" s="19" t="n">
        <v>86634</v>
      </c>
      <c r="E9" s="19" t="n">
        <v>1353.6</v>
      </c>
      <c r="F9" s="19" t="n">
        <v>341</v>
      </c>
      <c r="G9" s="19" t="n">
        <v>90</v>
      </c>
      <c r="H9" s="19" t="n">
        <v>86</v>
      </c>
      <c r="I9" s="19" t="n">
        <v>305099.7</v>
      </c>
      <c r="J9" s="19" t="n">
        <v>436362.58</v>
      </c>
      <c r="K9" s="19" t="n">
        <v>131262.88</v>
      </c>
      <c r="L9" s="20" t="n">
        <v>0.3008</v>
      </c>
    </row>
    <row r="11" ht="45" customHeight="1">
      <c r="A11" s="14" t="inlineStr">
        <is>
          <t>Hors estimation : études d'exécution EXE.CFA (DPGF §2), encadrement / chef de chantier, maintenance 29 mois (DPGF §8), déplacements, nacelle, certificateur cuivre en location, frais de sous-traitance. Lignes « estimatif » à remplacer par les devis (Aetherys GTB, Sonepar supports/totems/Mic Pod/serveur, câbles CR1).</t>
        </is>
      </c>
    </row>
  </sheetData>
  <mergeCells count="2">
    <mergeCell ref="A11:L11"/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6" customWidth="1" min="3" max="3"/>
    <col width="6" customWidth="1" min="4" max="4"/>
    <col width="12" customWidth="1" min="5" max="5"/>
    <col width="13" customWidth="1" min="6" max="6"/>
    <col width="90" customWidth="1" min="7" max="7"/>
  </cols>
  <sheetData>
    <row r="1">
      <c r="A1" s="1" t="inlineStr">
        <is>
          <t>N°/Lot</t>
        </is>
      </c>
      <c r="B1" s="1" t="inlineStr">
        <is>
          <t>DESIGNATION</t>
        </is>
      </c>
      <c r="C1" s="1" t="inlineStr">
        <is>
          <t>U</t>
        </is>
      </c>
      <c r="D1" s="1" t="inlineStr">
        <is>
          <t>Qt.</t>
        </is>
      </c>
      <c r="E1" s="1" t="inlineStr">
        <is>
          <t>P.U. (€)</t>
        </is>
      </c>
      <c r="F1" s="1" t="n"/>
      <c r="G1" s="1" t="inlineStr">
        <is>
          <t>COMMENTAIRES</t>
        </is>
      </c>
    </row>
    <row r="2">
      <c r="A2" s="2" t="inlineStr">
        <is>
          <t>4</t>
        </is>
      </c>
      <c r="B2" s="2" t="inlineStr">
        <is>
          <t>INFORMATIQUE &amp; AUDIOVISUEL &amp; AFFICHAGES LED</t>
        </is>
      </c>
      <c r="C2" s="2" t="n"/>
      <c r="D2" s="2" t="n"/>
      <c r="E2" s="3" t="n"/>
      <c r="F2" s="3" t="n"/>
      <c r="G2" s="2" t="n"/>
    </row>
    <row r="3">
      <c r="A3" s="4" t="inlineStr">
        <is>
          <t>4.1</t>
        </is>
      </c>
      <c r="B3" s="4" t="inlineStr">
        <is>
          <t>Phase 2 (2 mois)</t>
        </is>
      </c>
      <c r="C3" s="4" t="n"/>
      <c r="D3" s="4" t="n"/>
      <c r="E3" s="5" t="n"/>
      <c r="F3" s="5" t="n"/>
      <c r="G3" s="4" t="n"/>
    </row>
    <row r="4">
      <c r="A4" s="6" t="n"/>
      <c r="B4" s="7" t="inlineStr">
        <is>
          <t>Informatique cœur de réseau</t>
        </is>
      </c>
      <c r="C4" s="6" t="n"/>
      <c r="D4" s="6" t="n"/>
      <c r="E4" s="8" t="n"/>
      <c r="F4" s="8" t="n"/>
      <c r="G4" s="6" t="n"/>
    </row>
    <row r="5">
      <c r="A5" s="6" t="n"/>
      <c r="B5" s="6" t="inlineStr">
        <is>
          <t>Fourniture, pose et raccordement répartiteur informatique principal dans poste énergie Hub 1, incluant switch PoE (switch d'agrégation vidéoprotection fourni par PROSYB)</t>
        </is>
      </c>
      <c r="C5" s="6" t="inlineStr">
        <is>
          <t>Ens</t>
        </is>
      </c>
      <c r="D5" s="6" t="n">
        <v>1</v>
      </c>
      <c r="E5" s="21" t="n">
        <v>2485.72</v>
      </c>
      <c r="F5" s="8">
        <f>D5*E5</f>
        <v/>
      </c>
      <c r="G5" s="22" t="inlineStr">
        <is>
          <t>PRIX DE VENTE = (fourniture 1420.88 € + MO 300.00 € [5 h Tech]) × k 1.4444. Détail : onglet « Détail chiffrage ». | Source fourniture : Fourniture Octet Plus devis DE044128 du 15/10/2026 (ZVK EasyLan, garantie système 25 ans ; baies LIEN'K), baie 42U 800×800 BAI4288CN (615,40 €) + bandeau 8 PC COF BAND8PC+VOY (19,45 €) = 634.85 €, ajoutés au switch L3 S57244-B0 CCF (786,03 €) → 1420.88 €. Tiroirs optiques comptés dans les lignes fibre. Pose/MO à ajouter.</t>
        </is>
      </c>
    </row>
    <row r="6">
      <c r="A6" s="6" t="n"/>
      <c r="B6" s="6" t="inlineStr">
        <is>
          <t>Fourniture, pose et raccordement répartiteur informatique principal dans poste énergie Hub 2 — switch fourni par EXYTE, pose et paramétrage PROSYB</t>
        </is>
      </c>
      <c r="C6" s="6" t="inlineStr">
        <is>
          <t>Ens</t>
        </is>
      </c>
      <c r="D6" s="6" t="n">
        <v>1</v>
      </c>
      <c r="E6" s="21" t="n">
        <v>1350.34</v>
      </c>
      <c r="F6" s="8">
        <f>D6*E6</f>
        <v/>
      </c>
      <c r="G6" s="22" t="inlineStr">
        <is>
          <t>PRIX DE VENTE = (fourniture 634.85 € + MO 300.00 € [5 h Tech]) × k 1.4444. Détail : onglet « Détail chiffrage ». | Source fourniture : Fourniture Octet Plus devis DE044128 du 15/10/2026 (ZVK EasyLan, garantie système 25 ans ; baies LIEN'K), baie 42U 800×800 BAI4288CN + bandeau 8 PC = 634.85 €. Switch informatique fourni par EXYTE (pose et paramétrage PROSYB, MO à chiffrer).</t>
        </is>
      </c>
    </row>
    <row r="7">
      <c r="A7" s="6" t="n"/>
      <c r="B7" s="6" t="inlineStr">
        <is>
          <t>Fourniture, pose et raccordement répartiteur informatique secondaire Est 1 — switch fourni par EXYTE, pose et paramétrage PROSYB</t>
        </is>
      </c>
      <c r="C7" s="6" t="inlineStr">
        <is>
          <t>Ens</t>
        </is>
      </c>
      <c r="D7" s="6" t="n">
        <v>1</v>
      </c>
      <c r="E7" s="21" t="n">
        <v>173.33</v>
      </c>
      <c r="F7" s="8">
        <f>D7*E7</f>
        <v/>
      </c>
      <c r="G7" s="22" t="inlineStr">
        <is>
          <t>PRIX DE VENTE = (fourniture 0.00 € + MO 120.00 € [2 h Tech]) × k 1.4444. Détail : onglet « Détail chiffrage ». | Source fourniture :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</row>
    <row r="8">
      <c r="A8" s="6" t="n"/>
      <c r="B8" s="6" t="inlineStr">
        <is>
          <t>Fourniture, pose et raccordement répartiteur informatique secondaire Est 2 — switch fourni par EXYTE, pose et paramétrage PROSYB</t>
        </is>
      </c>
      <c r="C8" s="6" t="inlineStr">
        <is>
          <t>Ens</t>
        </is>
      </c>
      <c r="D8" s="6" t="n">
        <v>1</v>
      </c>
      <c r="E8" s="21" t="n">
        <v>173.33</v>
      </c>
      <c r="F8" s="8">
        <f>D8*E8</f>
        <v/>
      </c>
      <c r="G8" s="22" t="inlineStr">
        <is>
          <t>PRIX DE VENTE = (fourniture 0.00 € + MO 120.00 € [2 h Tech]) × k 1.4444. Détail : onglet « Détail chiffrage ». | Source fourniture :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</row>
    <row r="9">
      <c r="A9" s="6" t="n"/>
      <c r="B9" s="6" t="inlineStr">
        <is>
          <t>Fourniture, pose et raccordement répartiteur informatique secondaire Est 3 — switch fourni par EXYTE, pose et paramétrage PROSYB</t>
        </is>
      </c>
      <c r="C9" s="6" t="inlineStr">
        <is>
          <t>Ens</t>
        </is>
      </c>
      <c r="D9" s="6" t="n">
        <v>1</v>
      </c>
      <c r="E9" s="21" t="n">
        <v>173.33</v>
      </c>
      <c r="F9" s="8">
        <f>D9*E9</f>
        <v/>
      </c>
      <c r="G9" s="22" t="inlineStr">
        <is>
          <t>PRIX DE VENTE = (fourniture 0.00 € + MO 120.00 € [2 h Tech]) × k 1.4444. Détail : onglet « Détail chiffrage ». | Source fourniture :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</row>
    <row r="10">
      <c r="A10" s="6" t="n"/>
      <c r="B10" s="6" t="inlineStr">
        <is>
          <t>Fourniture, pose et raccordement répartiteur informatique secondaire Ouest 1 — switch fourni par EXYTE, pose et paramétrage PROSYB</t>
        </is>
      </c>
      <c r="C10" s="6" t="inlineStr">
        <is>
          <t>Ens</t>
        </is>
      </c>
      <c r="D10" s="6" t="n">
        <v>1</v>
      </c>
      <c r="E10" s="21" t="n">
        <v>173.33</v>
      </c>
      <c r="F10" s="8">
        <f>D10*E10</f>
        <v/>
      </c>
      <c r="G10" s="22" t="inlineStr">
        <is>
          <t>PRIX DE VENTE = (fourniture 0.00 € + MO 120.00 € [2 h Tech]) × k 1.4444. Détail : onglet « Détail chiffrage ». | Source fourniture :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</row>
    <row r="11">
      <c r="A11" s="6" t="n"/>
      <c r="B11" s="6" t="inlineStr">
        <is>
          <t>Fourniture, pose et raccordement répartiteur informatique secondaire Ouest 2 — switch fourni par EXYTE, pose et paramétrage PROSYB</t>
        </is>
      </c>
      <c r="C11" s="6" t="inlineStr">
        <is>
          <t>Ens</t>
        </is>
      </c>
      <c r="D11" s="6" t="n">
        <v>1</v>
      </c>
      <c r="E11" s="21" t="n">
        <v>173.33</v>
      </c>
      <c r="F11" s="8">
        <f>D11*E11</f>
        <v/>
      </c>
      <c r="G11" s="22" t="inlineStr">
        <is>
          <t>PRIX DE VENTE = (fourniture 0.00 € + MO 120.00 € [2 h Tech]) × k 1.4444. Détail : onglet « Détail chiffrage ». | Source fourniture :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</row>
    <row r="12">
      <c r="A12" s="6" t="n"/>
      <c r="B12" s="6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C12" s="6" t="inlineStr">
        <is>
          <t>Ens</t>
        </is>
      </c>
      <c r="D12" s="6" t="n">
        <v>1</v>
      </c>
      <c r="E12" s="21" t="n">
        <v>14437.11</v>
      </c>
      <c r="F12" s="8">
        <f>D12*E12</f>
        <v/>
      </c>
      <c r="G12" s="22" t="inlineStr">
        <is>
          <t>PRIX DE VENTE = (fourniture 7094.92 € + MO 2900.00 € [72.5 h Mont]) × k 1.4444. Détail : onglet « Détail chiffrage ». | Source fourniture : Fourniture Octet Plus devis DE044128 du 15/10/2026 (ZVK EasyLan, garantie système 25 ans ; baies LIEN'K), boucle OS2 12 brins anti-rongeurs ZVKLUZB12OS2, 6 tronçons ≈ 2 900 ml : câble (3728.57 €) + par tronçon tiroirs LC, fusion de 24 pigtails, test photométrie Fluke Versiv2 et jarretières (561.06 € × 6) = 7094.92 €. Fusion et tests fibre réalisés par Octet Plus.</t>
        </is>
      </c>
    </row>
    <row r="13">
      <c r="A13" s="6" t="n"/>
      <c r="B13" s="6" t="inlineStr">
        <is>
          <t>Fourniture, pose et raccordement liaison fibre OS2 12 brins autocicatrisante depuis le répartiteur principal poste énergie Hub 1 vers le répartiteur princiapl Hub 2</t>
        </is>
      </c>
      <c r="C13" s="6" t="inlineStr">
        <is>
          <t>Ens</t>
        </is>
      </c>
      <c r="D13" s="6" t="n">
        <v>1</v>
      </c>
      <c r="E13" s="21" t="n">
        <v>2296.13</v>
      </c>
      <c r="F13" s="8">
        <f>D13*E13</f>
        <v/>
      </c>
      <c r="G13" s="22" t="inlineStr">
        <is>
          <t>PRIX DE VENTE = (fourniture 1139.63 € + MO 450.00 € [11.25 h Mont]) × k 1.4444. Détail : onglet « Détail chiffrage ». | Source fourniture : Fourniture Octet Plus devis DE044128 du 15/10/2026 (ZVK EasyLan, garantie système 25 ans ; baies LIEN'K), liaison OS2 12 brins ≈ 450 ml : câble (578.57 €) + tiroirs, fusion, tests, jarretières (561.06 €) = 1139.63 €.</t>
        </is>
      </c>
    </row>
    <row r="14">
      <c r="A14" s="6" t="n"/>
      <c r="B14" s="6" t="inlineStr">
        <is>
          <t>Paramétrage équipements informatiques</t>
        </is>
      </c>
      <c r="C14" s="6" t="inlineStr">
        <is>
          <t>Ens</t>
        </is>
      </c>
      <c r="D14" s="6" t="n">
        <v>1</v>
      </c>
      <c r="E14" s="21" t="n">
        <v>3466.67</v>
      </c>
      <c r="F14" s="8">
        <f>D14*E14</f>
        <v/>
      </c>
      <c r="G14" s="22" t="inlineStr">
        <is>
          <t xml:space="preserve">PRIX DE VENTE = (fourniture 0.00 € + MO 2400.00 € [20 h Tech, 16 h BE]) × k 1.4444. Détail : onglet « Détail chiffrage ». | Source fourniture : </t>
        </is>
      </c>
    </row>
    <row r="15">
      <c r="A15" s="6" t="n"/>
      <c r="B15" s="6" t="inlineStr">
        <is>
          <t>Test de réfléctométrie</t>
        </is>
      </c>
      <c r="C15" s="6" t="inlineStr">
        <is>
          <t>Ens</t>
        </is>
      </c>
      <c r="D15" s="6" t="n">
        <v>1</v>
      </c>
      <c r="E15" s="21" t="n">
        <v>0</v>
      </c>
      <c r="F15" s="8">
        <f>D15*E15</f>
        <v/>
      </c>
      <c r="G15" s="22" t="inlineStr">
        <is>
          <t>PRIX DE VENTE = (fourniture 0.00 € + MO 0.00 € [sans MO]) × k 1.4444. Détail : onglet « Détail chiffrage ». | Source fourniture : Réflectométrie/photométrie fibre incluse dans les lignes fibre (prestation Octet Plus : raccordement et test 1310/1550 nm dans les deux sens + photométrie ISO/IEC 14763-3, dossier de mesures).</t>
        </is>
      </c>
    </row>
    <row r="16">
      <c r="A16" s="6" t="n"/>
      <c r="B16" s="7" t="inlineStr">
        <is>
          <t>Informatique îlots 1 et 2</t>
        </is>
      </c>
      <c r="C16" s="6" t="n"/>
      <c r="D16" s="6" t="n"/>
      <c r="E16" s="8" t="n"/>
      <c r="F16" s="8" t="n"/>
      <c r="G16" s="6" t="n"/>
    </row>
    <row r="17">
      <c r="A17" s="6" t="n"/>
      <c r="B17" s="6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C17" s="6" t="inlineStr">
        <is>
          <t>Ens</t>
        </is>
      </c>
      <c r="D17" s="6" t="n">
        <v>1</v>
      </c>
      <c r="E17" s="21" t="n">
        <v>2777.32</v>
      </c>
      <c r="F17" s="8">
        <f>D17*E17</f>
        <v/>
      </c>
      <c r="G17" s="22" t="inlineStr">
        <is>
          <t>PRIX DE VENTE = (fourniture 770.76 € + MO 1152.00 € [28.8 h Mont]) × k 1.4444. Détail : onglet « Détail chiffrage ». | Source fourniture : Fourniture Octet Plus devis DE044128 du 15/10/2026 (ZVK EasyLan, garantie système 25 ans ; baies LIEN'K), 24 liens Cat. 6A F/FTP 500 MHz LSFROH ZVKCEFF1212K ≈ 35 m : câble + 2 noyaux FixLink CKFAK001 + plastron 45×45 + 2 cordons Cat. 6A 1 m + quote-part platines 24 ports/passe-cordons = 770.76 €. POSE CUIVRE NON INCLUSE au devis Octet Plus (seule la fibre est raccordée) : MO PROSYB à ajouter.</t>
        </is>
      </c>
    </row>
    <row r="18">
      <c r="A18" s="6" t="n"/>
      <c r="B18" s="6" t="inlineStr">
        <is>
          <t>Pose et raccordement borne WiFi</t>
        </is>
      </c>
      <c r="C18" s="6" t="inlineStr">
        <is>
          <t>U</t>
        </is>
      </c>
      <c r="D18" s="6" t="n">
        <v>4</v>
      </c>
      <c r="E18" s="21" t="n">
        <v>65</v>
      </c>
      <c r="F18" s="8">
        <f>D18*E18</f>
        <v/>
      </c>
      <c r="G18" s="22" t="inlineStr">
        <is>
          <t xml:space="preserve">PRIX DE VENTE = (fourniture 0.00 € + MO 45.00 € [0.75 h Mont, 0.25 h Tech]) × k 1.4444. Détail : onglet « Détail chiffrage ». | Source fourniture : </t>
        </is>
      </c>
    </row>
    <row r="19">
      <c r="A19" s="6" t="n"/>
      <c r="B19" s="6" t="inlineStr">
        <is>
          <t>Fourniture, pose et raccordement équipements audiovisuel salle de réunion (Un écran 85" par salle de réunion, avec enceinte caméra combinée + kit 5x micros déportés connectés)</t>
        </is>
      </c>
      <c r="C19" s="6" t="inlineStr">
        <is>
          <t>U</t>
        </is>
      </c>
      <c r="D19" s="6" t="n">
        <v>3</v>
      </c>
      <c r="E19" s="21" t="n">
        <v>13229.16</v>
      </c>
      <c r="F19" s="8">
        <f>D19*E19</f>
        <v/>
      </c>
      <c r="G19" s="22" t="inlineStr">
        <is>
          <t>PRIX DE VENTE = (fourniture 8858.65 € + MO 300.00 € [3 h Mont, 3 h Tech]) × k 1.4444. Fourniture ajoutée estimative. Détail : onglet « Détail chiffrage ». | Source fourniture :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0">
      <c r="A20" s="6" t="n"/>
      <c r="B20" s="6" t="inlineStr">
        <is>
          <t>Recettage cuivre</t>
        </is>
      </c>
      <c r="C20" s="6" t="inlineStr">
        <is>
          <t>Ens</t>
        </is>
      </c>
      <c r="D20" s="6" t="n">
        <v>1</v>
      </c>
      <c r="E20" s="21" t="n">
        <v>294.67</v>
      </c>
      <c r="F20" s="8">
        <f>D20*E20</f>
        <v/>
      </c>
      <c r="G20" s="22" t="inlineStr">
        <is>
          <t>PRIX DE VENTE = (fourniture 0.00 € + MO 204.00 € [3.4 h Tech]) × k 1.4444. Détail : onglet « Détail chiffrage ». | Source fourniture : Certification cuivre classe EA non chiffrée par Octet Plus : à réaliser par PROSYB (testeur de certification) ou à demander à Octet Plus.</t>
        </is>
      </c>
    </row>
    <row r="21">
      <c r="A21" s="4" t="inlineStr">
        <is>
          <t>4.1</t>
        </is>
      </c>
      <c r="B21" s="4" t="inlineStr">
        <is>
          <t>Phase 3 (5 mois)</t>
        </is>
      </c>
      <c r="C21" s="4" t="n"/>
      <c r="D21" s="4" t="n"/>
      <c r="E21" s="5" t="n"/>
      <c r="F21" s="5" t="n"/>
      <c r="G21" s="4" t="n"/>
    </row>
    <row r="22">
      <c r="A22" s="6" t="n"/>
      <c r="B22" s="7" t="inlineStr">
        <is>
          <t>Informatique cœur de réseau</t>
        </is>
      </c>
      <c r="C22" s="6" t="n"/>
      <c r="D22" s="6" t="n"/>
      <c r="E22" s="8" t="n"/>
      <c r="F22" s="8" t="n"/>
      <c r="G22" s="6" t="n"/>
    </row>
    <row r="23">
      <c r="A23" s="6" t="n"/>
      <c r="B23" s="6" t="inlineStr">
        <is>
          <t>Sans objet</t>
        </is>
      </c>
      <c r="C23" s="6" t="inlineStr">
        <is>
          <t>Ens</t>
        </is>
      </c>
      <c r="D23" s="6" t="n">
        <v>1</v>
      </c>
      <c r="E23" s="8" t="n"/>
      <c r="F23" s="8">
        <f>D23*E23</f>
        <v/>
      </c>
      <c r="G23" s="6" t="n"/>
    </row>
    <row r="24">
      <c r="A24" s="6" t="n"/>
      <c r="B24" s="7" t="inlineStr">
        <is>
          <t>Informatique îlots 3 à 10</t>
        </is>
      </c>
      <c r="C24" s="6" t="n"/>
      <c r="D24" s="6" t="n"/>
      <c r="E24" s="8" t="n"/>
      <c r="F24" s="8" t="n"/>
      <c r="G24" s="6" t="n"/>
    </row>
    <row r="25">
      <c r="A25" s="6" t="n"/>
      <c r="B25" s="6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C25" s="6" t="inlineStr">
        <is>
          <t>Ens</t>
        </is>
      </c>
      <c r="D25" s="6" t="n">
        <v>1</v>
      </c>
      <c r="E25" s="21" t="n">
        <v>11109.29</v>
      </c>
      <c r="F25" s="8">
        <f>D25*E25</f>
        <v/>
      </c>
      <c r="G25" s="22" t="inlineStr">
        <is>
          <t>PRIX DE VENTE = (fourniture 3083.05 € + MO 4608.00 € [115.2 h Mont]) × k 1.4444. Détail : onglet « Détail chiffrage ». | Source fourniture : Fourniture Octet Plus devis DE044128 du 15/10/2026 (ZVK EasyLan, garantie système 25 ans ; baies LIEN'K), 96 liens Cat. 6A F/FTP ≈ 35 m, même composition que P2 = 3083.05 €. Pose cuivre non incluse : MO PROSYB à ajouter.</t>
        </is>
      </c>
    </row>
    <row r="26">
      <c r="A26" s="6" t="n"/>
      <c r="B26" s="6" t="inlineStr">
        <is>
          <t>Fourniture, pose et raccordement borne WiFi</t>
        </is>
      </c>
      <c r="C26" s="6" t="inlineStr">
        <is>
          <t>U</t>
        </is>
      </c>
      <c r="D26" s="6" t="n">
        <v>20</v>
      </c>
      <c r="E26" s="21" t="n">
        <v>296.11</v>
      </c>
      <c r="F26" s="8">
        <f>D26*E26</f>
        <v/>
      </c>
      <c r="G26" s="22" t="inlineStr">
        <is>
          <t xml:space="preserve">PRIX DE VENTE = (fourniture 160.00 € + MO 45.00 € [0.75 h Mont, 0.25 h Tech]) × k 1.4444. Fourniture ajoutée estimative. Détail : onglet « Détail chiffrage ». | Source fourniture : </t>
        </is>
      </c>
    </row>
    <row r="27">
      <c r="A27" s="6" t="n"/>
      <c r="B27" s="6" t="inlineStr">
        <is>
          <t>Fourniture, pose et raccordement équipements audiovisuel salle de réunion (Un écran 85" par salle de réunion, avec enceinte caméra combinée + kit 5x micros déportés connectés)</t>
        </is>
      </c>
      <c r="C27" s="6" t="inlineStr">
        <is>
          <t>U</t>
        </is>
      </c>
      <c r="D27" s="6" t="n">
        <v>7</v>
      </c>
      <c r="E27" s="21" t="n">
        <v>13229.16</v>
      </c>
      <c r="F27" s="8">
        <f>D27*E27</f>
        <v/>
      </c>
      <c r="G27" s="22" t="inlineStr">
        <is>
          <t>PRIX DE VENTE = (fourniture 8858.65 € + MO 300.00 € [3 h Mont, 3 h Tech]) × k 1.4444. Fourniture ajoutée estimative. Détail : onglet « Détail chiffrage ». | Source fourniture :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8">
      <c r="A28" s="6" t="n"/>
      <c r="B28" s="6" t="inlineStr">
        <is>
          <t>Recettage cuivre</t>
        </is>
      </c>
      <c r="C28" s="6" t="inlineStr">
        <is>
          <t>Ens</t>
        </is>
      </c>
      <c r="D28" s="6" t="n">
        <v>1</v>
      </c>
      <c r="E28" s="21" t="n">
        <v>918.67</v>
      </c>
      <c r="F28" s="8">
        <f>D28*E28</f>
        <v/>
      </c>
      <c r="G28" s="22" t="inlineStr">
        <is>
          <t>PRIX DE VENTE = (fourniture 0.00 € + MO 636.00 € [10.6 h Tech]) × k 1.4444. Détail : onglet « Détail chiffrage ». | Source fourniture : Certification cuivre classe EA non chiffrée par Octet Plus : PROSYB ou demande complémentaire.</t>
        </is>
      </c>
    </row>
    <row r="29">
      <c r="A29" s="6" t="n"/>
      <c r="B29" s="7" t="inlineStr">
        <is>
          <t>Informatique chantier</t>
        </is>
      </c>
      <c r="C29" s="6" t="n"/>
      <c r="D29" s="6" t="n"/>
      <c r="E29" s="8" t="n"/>
      <c r="F29" s="8" t="n"/>
      <c r="G29" s="6" t="n"/>
    </row>
    <row r="30">
      <c r="A30" s="6" t="n"/>
      <c r="B30" s="6" t="inlineStr">
        <is>
          <t>Fourniture, pose et raccordement répartiteur secondaire bâtiments annexes</t>
        </is>
      </c>
      <c r="C30" s="6" t="inlineStr">
        <is>
          <t>U</t>
        </is>
      </c>
      <c r="D30" s="6" t="n">
        <v>2</v>
      </c>
      <c r="E30" s="21" t="n">
        <v>1479</v>
      </c>
      <c r="F30" s="8">
        <f>D30*E30</f>
        <v/>
      </c>
      <c r="G30" s="22" t="inlineStr">
        <is>
          <t>PRIX DE VENTE = (fourniture 753.92 € + MO 270.00 € [3.75 h Mont, 2 h Tech]) × k 1.4444. Détail : onglet « Détail chiffrage ». | Source fourniture : Fourniture Octet Plus devis DE044128 du 15/10/2026 (ZVK EasyLan, garantie système 25 ans ; baies LIEN'K), par annexe : liaison OS2 12 brins ≈ 150 ml avec tiroir, fusion, tests = 753.92 €. Coffret IP55 fourni et posé par SPIE (retiré du devis Octet Plus). Switch fourni par EXYTE.</t>
        </is>
      </c>
    </row>
    <row r="31">
      <c r="A31" s="6" t="n"/>
      <c r="B31" s="6" t="inlineStr">
        <is>
          <t>Fourniture, pose et raccordement liaisons RJ45 CAT6A F/STP bâtiments techniques &amp; extérieurs</t>
        </is>
      </c>
      <c r="C31" s="6" t="inlineStr">
        <is>
          <t>U</t>
        </is>
      </c>
      <c r="D31" s="6" t="n">
        <v>30</v>
      </c>
      <c r="E31" s="21" t="n">
        <v>214.8</v>
      </c>
      <c r="F31" s="8">
        <f>D31*E31</f>
        <v/>
      </c>
      <c r="G31" s="22" t="inlineStr">
        <is>
          <t>PRIX DE VENTE = (fourniture 48.71 € + MO 100.00 € [2.5 h Mont]) × k 1.4444. Détail : onglet « Détail chiffrage ». | Source fourniture : Fourniture Octet Plus devis DE044128 du 15/10/2026 (ZVK EasyLan, garantie système 25 ans ; baies LIEN'K), par liaison : câble Cat. 6A F/FTP ≈ 60 m + 2 noyaux + plastron + 2 cordons + quote-part platines = 48.71 €. Câble intérieur LSFROH : prévoir fourreau/protection pour les parcours extérieurs. Pose non incluse.</t>
        </is>
      </c>
    </row>
    <row r="32">
      <c r="A32" s="6" t="n"/>
      <c r="B32" s="6" t="inlineStr">
        <is>
          <t>Recettage cuivre</t>
        </is>
      </c>
      <c r="C32" s="6" t="inlineStr">
        <is>
          <t>Ens</t>
        </is>
      </c>
      <c r="D32" s="6" t="n">
        <v>1</v>
      </c>
      <c r="E32" s="21" t="n">
        <v>390</v>
      </c>
      <c r="F32" s="8">
        <f>D32*E32</f>
        <v/>
      </c>
      <c r="G32" s="22" t="inlineStr">
        <is>
          <t>PRIX DE VENTE = (fourniture 0.00 € + MO 270.00 € [4.5 h Tech]) × k 1.4444. Détail : onglet « Détail chiffrage ». | Source fourniture : Certification cuivre non chiffrée par Octet Plus.</t>
        </is>
      </c>
    </row>
    <row r="33">
      <c r="A33" s="6" t="n"/>
      <c r="B33" s="7" t="inlineStr">
        <is>
          <t>Afficheurs chantier</t>
        </is>
      </c>
      <c r="C33" s="6" t="n"/>
      <c r="D33" s="6" t="n"/>
      <c r="E33" s="8" t="n"/>
      <c r="F33" s="8" t="n"/>
      <c r="G33" s="6" t="n"/>
    </row>
    <row r="34">
      <c r="A34" s="6" t="n"/>
      <c r="B34" s="6" t="inlineStr">
        <is>
          <t>Fourniture, pose et raccordement afficheurs chantier extérieur + Support</t>
        </is>
      </c>
      <c r="C34" s="6" t="inlineStr">
        <is>
          <t>U</t>
        </is>
      </c>
      <c r="D34" s="6" t="n">
        <v>6</v>
      </c>
      <c r="E34" s="21" t="n">
        <v>8605.73</v>
      </c>
      <c r="F34" s="8">
        <f>D34*E34</f>
        <v/>
      </c>
      <c r="G34" s="22" t="inlineStr">
        <is>
          <t>PRIX DE VENTE = (fourniture 5627.81 € + MO 330.00 € [6 h Mont, 1.5 h Tech]) × k 1.4444. Fourniture ajoutée estimative. Détail : onglet « Détail chiffrage ». | Source fourniture : Fourniture seule SONEPAR offre 0014640130 du 16/10/2026, prix par afficheur : écran extérieur Samsung OHDX 55" LH55OHDEBGBXEN (3 500 cd/m², IP56) (3 752,00 €) + lecteur Navori StiX 3800 (450,00 €) + licence Navori (450,00 €) + switch PoE TP-Link SG2210MP (164,19 €) + cordon HDMI 2 m (11,58 €) + D3E (0,04 €) + quote-part port (25,00 €) = 4 852,81 €. SUPPORTS NON CHIFFRÉS (prix attendu Sonepar début de semaine) : 3 totems ERARD PRO OUTDOOH réf. 665155 (prévu pour OH55F, écran en portrait — compatibilité OHDX à confirmer par ERARD) + 3 bras muraux orientables antivol. Pose/MO à ajouter.</t>
        </is>
      </c>
    </row>
    <row r="35">
      <c r="A35" s="6" t="n"/>
      <c r="B35" s="6" t="inlineStr">
        <is>
          <t>Paramétrage</t>
        </is>
      </c>
      <c r="C35" s="6" t="inlineStr">
        <is>
          <t>Ens</t>
        </is>
      </c>
      <c r="D35" s="6" t="n">
        <v>1</v>
      </c>
      <c r="E35" s="21" t="n">
        <v>4275.56</v>
      </c>
      <c r="F35" s="8">
        <f>D35*E35</f>
        <v/>
      </c>
      <c r="G35" s="22" t="inlineStr">
        <is>
          <t>PRIX DE VENTE = (fourniture 1100.00 € + MO 1860.00 € [16 h Tech, 12 h BE]) × k 1.4444. Fourniture ajoutée estimative. Détail : onglet « Détail chiffrage ». | Source fourniture : Licences Navori incluses dans la ligne afficheurs (et salles). Serveur de diffusion Navori QL sur site (baie Hub 1) NON chiffré par Sonepar : PC serveur + éventuelle licence serveur à chiffrer ; durée licence PRD-1011571 (perpétuelle sur site ou abonnement) à confirmer. Paramétrage, charte et formation = MO PROSYB à ajouter.</t>
        </is>
      </c>
    </row>
    <row r="36">
      <c r="A36" s="4" t="inlineStr">
        <is>
          <t>4.1</t>
        </is>
      </c>
      <c r="B36" s="4" t="inlineStr">
        <is>
          <t>Phase 4 (17 mois)</t>
        </is>
      </c>
      <c r="C36" s="4" t="n"/>
      <c r="D36" s="4" t="n"/>
      <c r="E36" s="5" t="n"/>
      <c r="F36" s="5" t="n"/>
      <c r="G36" s="4" t="n"/>
    </row>
    <row r="37">
      <c r="A37" s="6" t="n"/>
      <c r="B37" s="7" t="inlineStr">
        <is>
          <t>Informatique cœur de réseau</t>
        </is>
      </c>
      <c r="C37" s="6" t="n"/>
      <c r="D37" s="6" t="n"/>
      <c r="E37" s="8" t="n"/>
      <c r="F37" s="8" t="n"/>
      <c r="G37" s="6" t="n"/>
    </row>
    <row r="38">
      <c r="A38" s="6" t="n"/>
      <c r="B38" s="6" t="inlineStr">
        <is>
          <t>Fourniture, pose et raccordement répartiteur informatique principal dans poste énergie Hub 3 — switch fourni par EXYTE, pose et paramétrage PROSYB</t>
        </is>
      </c>
      <c r="C38" s="6" t="inlineStr">
        <is>
          <t>Ens</t>
        </is>
      </c>
      <c r="D38" s="6" t="n">
        <v>1</v>
      </c>
      <c r="E38" s="21" t="n">
        <v>1350.34</v>
      </c>
      <c r="F38" s="8">
        <f>D38*E38</f>
        <v/>
      </c>
      <c r="G38" s="22" t="inlineStr">
        <is>
          <t>PRIX DE VENTE = (fourniture 634.85 € + MO 300.00 € [5 h Tech]) × k 1.4444. Détail : onglet « Détail chiffrage ». | Source fourniture : Fourniture Octet Plus devis DE044128 du 15/10/2026 (ZVK EasyLan, garantie système 25 ans ; baies LIEN'K), baie 42U 800×800 + bandeau 8 PC = 634.85 €. Switch fourni par EXYTE.</t>
        </is>
      </c>
    </row>
    <row r="39">
      <c r="A39" s="6" t="n"/>
      <c r="B39" s="6" t="inlineStr">
        <is>
          <t>Fourniture, pose et raccordement fibre OS2 12 brins depuis répartiteur principal poste énergie Hub 1 vers répartiteur principal poste énergie Hub 3</t>
        </is>
      </c>
      <c r="C39" s="6" t="inlineStr">
        <is>
          <t>Ens</t>
        </is>
      </c>
      <c r="D39" s="6" t="n">
        <v>1</v>
      </c>
      <c r="E39" s="21" t="n">
        <v>1305.66</v>
      </c>
      <c r="F39" s="8">
        <f>D39*E39</f>
        <v/>
      </c>
      <c r="G39" s="22" t="inlineStr">
        <is>
          <t>PRIX DE VENTE = (fourniture 753.92 € + MO 150.00 € [3.75 h Mont]) × k 1.4444. Détail : onglet « Détail chiffrage ». | Source fourniture : Fourniture Octet Plus devis DE044128 du 15/10/2026 (ZVK EasyLan, garantie système 25 ans ; baies LIEN'K), liaison OS2 12 brins ≈ 150 ml + tiroirs, fusion, tests = 753.92 €.</t>
        </is>
      </c>
    </row>
    <row r="40">
      <c r="A40" s="6" t="n"/>
      <c r="B40" s="6" t="inlineStr">
        <is>
          <t>Fourniture, pose et raccordement fibre OS2 12 brins depuis répartiteur principal poste énergie Hub 3 vers répartiteurs secondaires A (Ilots 1 à 10)</t>
        </is>
      </c>
      <c r="C40" s="6" t="inlineStr">
        <is>
          <t>Ens</t>
        </is>
      </c>
      <c r="D40" s="6" t="n">
        <v>1</v>
      </c>
      <c r="E40" s="21" t="n">
        <v>1470.73</v>
      </c>
      <c r="F40" s="8">
        <f>D40*E40</f>
        <v/>
      </c>
      <c r="G40" s="22" t="inlineStr">
        <is>
          <t>PRIX DE VENTE = (fourniture 818.20 € + MO 200.00 € [5 h Mont]) × k 1.4444. Détail : onglet « Détail chiffrage ». | Source fourniture : Fourniture Octet Plus devis DE044128 du 15/10/2026 (ZVK EasyLan, garantie système 25 ans ; baies LIEN'K), liaison OS2 12 brins ≈ 200 ml + tiroirs, fusion, tests = 818.20 €.</t>
        </is>
      </c>
    </row>
    <row r="41">
      <c r="A41" s="6" t="n"/>
      <c r="B41" s="6" t="inlineStr">
        <is>
          <t>Fourniture, pose et raccordement fibre OS2 12 brins depuis répartiteur principal poste énergie Hub 3 vers répartiteurs secondaires B (Ilots 11 à 20)</t>
        </is>
      </c>
      <c r="C41" s="6" t="inlineStr">
        <is>
          <t>Ens</t>
        </is>
      </c>
      <c r="D41" s="6" t="n">
        <v>1</v>
      </c>
      <c r="E41" s="21" t="n">
        <v>1470.73</v>
      </c>
      <c r="F41" s="8">
        <f>D41*E41</f>
        <v/>
      </c>
      <c r="G41" s="22" t="inlineStr">
        <is>
          <t>PRIX DE VENTE = (fourniture 818.20 € + MO 200.00 € [5 h Mont]) × k 1.4444. Détail : onglet « Détail chiffrage ». | Source fourniture : Fourniture Octet Plus devis DE044128 du 15/10/2026 (ZVK EasyLan, garantie système 25 ans ; baies LIEN'K), liaison OS2 12 brins ≈ 200 ml + tiroirs, fusion, tests = 818.20 €.</t>
        </is>
      </c>
    </row>
    <row r="42">
      <c r="A42" s="6" t="n"/>
      <c r="B42" s="6" t="inlineStr">
        <is>
          <t>Paramétrage équipements informatiques</t>
        </is>
      </c>
      <c r="C42" s="6" t="inlineStr">
        <is>
          <t>Ens</t>
        </is>
      </c>
      <c r="D42" s="6" t="n">
        <v>1</v>
      </c>
      <c r="E42" s="21" t="n">
        <v>2253.33</v>
      </c>
      <c r="F42" s="8">
        <f>D42*E42</f>
        <v/>
      </c>
      <c r="G42" s="22" t="inlineStr">
        <is>
          <t xml:space="preserve">PRIX DE VENTE = (fourniture 0.00 € + MO 1560.00 € [16 h Tech, 8 h BE]) × k 1.4444. Détail : onglet « Détail chiffrage ». | Source fourniture : </t>
        </is>
      </c>
    </row>
    <row r="43">
      <c r="A43" s="6" t="n"/>
      <c r="B43" s="6" t="inlineStr">
        <is>
          <t>Test de réfléctométrie</t>
        </is>
      </c>
      <c r="C43" s="6" t="inlineStr">
        <is>
          <t>Ens</t>
        </is>
      </c>
      <c r="D43" s="6" t="n">
        <v>1</v>
      </c>
      <c r="E43" s="21" t="n">
        <v>0</v>
      </c>
      <c r="F43" s="8">
        <f>D43*E43</f>
        <v/>
      </c>
      <c r="G43" s="22" t="inlineStr">
        <is>
          <t>PRIX DE VENTE = (fourniture 0.00 € + MO 0.00 € [sans MO]) × k 1.4444. Détail : onglet « Détail chiffrage ». | Source fourniture : Tests fibre P4 inclus dans les lignes fibre (prestation Octet Plus en 4 phases).</t>
        </is>
      </c>
    </row>
    <row r="44">
      <c r="A44" s="6" t="n"/>
      <c r="B44" s="7" t="inlineStr">
        <is>
          <t>Informatique îlots 1 à 20</t>
        </is>
      </c>
      <c r="C44" s="6" t="n"/>
      <c r="D44" s="6" t="n"/>
      <c r="E44" s="8" t="n"/>
      <c r="F44" s="8" t="n"/>
      <c r="G44" s="6" t="n"/>
    </row>
    <row r="45">
      <c r="A45" s="6" t="n"/>
      <c r="B45" s="6" t="inlineStr">
        <is>
          <t>Fourniture, pose et raccordement répartiteur informatique secondaires base vie phase 4 — switch fourni par EXYTE, pose et paramétrage PROSYB</t>
        </is>
      </c>
      <c r="C45" s="6" t="inlineStr">
        <is>
          <t>U</t>
        </is>
      </c>
      <c r="D45" s="6" t="n">
        <v>2</v>
      </c>
      <c r="E45" s="21" t="n">
        <v>1350.34</v>
      </c>
      <c r="F45" s="8">
        <f>D45*E45</f>
        <v/>
      </c>
      <c r="G45" s="22" t="inlineStr">
        <is>
          <t>PRIX DE VENTE = (fourniture 634.85 € + MO 300.00 € [5 h Tech]) × k 1.4444. Détail : onglet « Détail chiffrage ». | Source fourniture : Fourniture Octet Plus devis DE044128 du 15/10/2026 (ZVK EasyLan, garantie système 25 ans ; baies LIEN'K), par répartiteur : baie 42U 800×800 + bandeau 8 PC = 634.85 €. Switchs fournis par EXYTE.</t>
        </is>
      </c>
    </row>
    <row r="46">
      <c r="A46" s="6" t="n"/>
      <c r="B46" s="6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C46" s="6" t="inlineStr">
        <is>
          <t>Ens</t>
        </is>
      </c>
      <c r="D46" s="6" t="n">
        <v>1</v>
      </c>
      <c r="E46" s="21" t="n">
        <v>41659.84</v>
      </c>
      <c r="F46" s="8">
        <f>D46*E46</f>
        <v/>
      </c>
      <c r="G46" s="22" t="inlineStr">
        <is>
          <t>PRIX DE VENTE = (fourniture 11561.43 € + MO 17280.00 € [432 h Mont]) × k 1.4444. Détail : onglet « Détail chiffrage ». | Source fourniture : Fourniture Octet Plus devis DE044128 du 15/10/2026 (ZVK EasyLan, garantie système 25 ans ; baies LIEN'K), 360 liens Cat. 6A F/FTP ≈ 35 m, même composition = 11561.43 €. Pose cuivre non incluse : MO PROSYB à ajouter.</t>
        </is>
      </c>
    </row>
    <row r="47">
      <c r="A47" s="6" t="n"/>
      <c r="B47" s="6" t="inlineStr">
        <is>
          <t>Pose et raccordement borne WiFi</t>
        </is>
      </c>
      <c r="C47" s="6" t="inlineStr">
        <is>
          <t>U</t>
        </is>
      </c>
      <c r="D47" s="6" t="n">
        <v>60</v>
      </c>
      <c r="E47" s="21" t="n">
        <v>65</v>
      </c>
      <c r="F47" s="8">
        <f>D47*E47</f>
        <v/>
      </c>
      <c r="G47" s="22" t="inlineStr">
        <is>
          <t xml:space="preserve">PRIX DE VENTE = (fourniture 0.00 € + MO 45.00 € [0.75 h Mont, 0.25 h Tech]) × k 1.4444. Détail : onglet « Détail chiffrage ». | Source fourniture : </t>
        </is>
      </c>
    </row>
    <row r="48">
      <c r="A48" s="6" t="n"/>
      <c r="B48" s="6" t="inlineStr">
        <is>
          <t>Recettage cuivre</t>
        </is>
      </c>
      <c r="C48" s="6" t="inlineStr">
        <is>
          <t>Ens</t>
        </is>
      </c>
      <c r="D48" s="6" t="n">
        <v>1</v>
      </c>
      <c r="E48" s="21" t="n">
        <v>3293.33</v>
      </c>
      <c r="F48" s="8">
        <f>D48*E48</f>
        <v/>
      </c>
      <c r="G48" s="22" t="inlineStr">
        <is>
          <t>PRIX DE VENTE = (fourniture 0.00 € + MO 2280.00 € [38 h Tech]) × k 1.4444. Détail : onglet « Détail chiffrage ». | Source fourniture : Certification cuivre non chiffrée par Octet Plus.</t>
        </is>
      </c>
    </row>
    <row r="49"/>
    <row r="50">
      <c r="A50" s="2" t="inlineStr">
        <is>
          <t>5</t>
        </is>
      </c>
      <c r="B50" s="2" t="inlineStr">
        <is>
          <t>SECURITE SSI</t>
        </is>
      </c>
      <c r="C50" s="2" t="n"/>
      <c r="D50" s="2" t="n"/>
      <c r="E50" s="3" t="n"/>
      <c r="F50" s="3" t="n"/>
      <c r="G50" s="2" t="n"/>
    </row>
    <row r="51">
      <c r="A51" s="4" t="inlineStr">
        <is>
          <t>5.1</t>
        </is>
      </c>
      <c r="B51" s="4" t="inlineStr">
        <is>
          <t>Phase 2 (2 mois)</t>
        </is>
      </c>
      <c r="C51" s="4" t="n"/>
      <c r="D51" s="4" t="n"/>
      <c r="E51" s="5" t="n"/>
      <c r="F51" s="5" t="n"/>
      <c r="G51" s="4" t="n"/>
    </row>
    <row r="52">
      <c r="A52" s="6" t="n"/>
      <c r="B52" s="6" t="inlineStr">
        <is>
          <t>Fourniture, pose et raccordement coffret report de contact SSI poste de garde principal</t>
        </is>
      </c>
      <c r="C52" s="6" t="inlineStr">
        <is>
          <t>Ens</t>
        </is>
      </c>
      <c r="D52" s="6" t="n">
        <v>1</v>
      </c>
      <c r="E52" s="21" t="n">
        <v>2901.19</v>
      </c>
      <c r="F52" s="8">
        <f>D52*E52</f>
        <v/>
      </c>
      <c r="G52" s="22" t="inlineStr">
        <is>
          <t xml:space="preserve">PRIX DE VENTE = (fourniture 1900.00 € + MO 248.00 € [4 h SSI]) × k 1.3506. Fourniture ajoutée estimative. Détail : onglet « Détail chiffrage ». | Source fourniture : </t>
        </is>
      </c>
    </row>
    <row r="53">
      <c r="A53" s="6" t="n"/>
      <c r="B53" s="6" t="inlineStr">
        <is>
          <t>Fourniture, pose et raccordement liaisons coffret report de contact SSI vers alarmes BAAS SSI îlots 1 et 2, poste de garde, poste énergie Hub 1</t>
        </is>
      </c>
      <c r="C53" s="6" t="inlineStr">
        <is>
          <t>Ens</t>
        </is>
      </c>
      <c r="D53" s="6" t="n">
        <v>1</v>
      </c>
      <c r="E53" s="21" t="n">
        <v>7501.51</v>
      </c>
      <c r="F53" s="8">
        <f>D53*E53</f>
        <v/>
      </c>
      <c r="G53" s="22" t="inlineStr">
        <is>
          <t xml:space="preserve">PRIX DE VENTE = (fourniture 3948.00 € + MO 1606.00 € [32.4 h Mont, 5 h SSI]) × k 1.3506. Fourniture ajoutée estimative. Détail : onglet « Détail chiffrage ». | Source fourniture : </t>
        </is>
      </c>
    </row>
    <row r="54">
      <c r="A54" s="6" t="n"/>
      <c r="B54" s="6" t="inlineStr">
        <is>
          <t>Fourniture, pose et raccordement centrale type 3 SSI poste de garde, y compris déclencheurs manuels et sirenes</t>
        </is>
      </c>
      <c r="C54" s="6" t="inlineStr">
        <is>
          <t>Ens</t>
        </is>
      </c>
      <c r="D54" s="6" t="n">
        <v>1</v>
      </c>
      <c r="E54" s="21" t="n">
        <v>777.16</v>
      </c>
      <c r="F54" s="8">
        <f>D54*E54</f>
        <v/>
      </c>
      <c r="G54" s="22" t="inlineStr">
        <is>
          <t>PRIX DE VENTE = (fourniture 327.40 € + MO 248.00 € [4 h SSI]) × k 1.3506. Détail : onglet « Détail chiffrage ». | Source fourniture : Fourniture seule AVISS devis AE2610CO901 v2 du 13/10/2026 : CONCEPT 3 (177 €) + 1 DM 4710R1 (23,40 €) + capot CPDM (4 €) + télécommande TMS-300 (98 €) + frais de port (25 €) - pose/câblage/MO à ajouter</t>
        </is>
      </c>
    </row>
    <row r="55">
      <c r="A55" s="6" t="n"/>
      <c r="B55" s="6" t="inlineStr">
        <is>
          <t>Fourniture, pose et raccordement centrale type 3 SSI Poste Energie Hub 1, y compris déclencheurs manuels et sirenes</t>
        </is>
      </c>
      <c r="C55" s="6" t="inlineStr">
        <is>
          <t>Ens</t>
        </is>
      </c>
      <c r="D55" s="6" t="n">
        <v>1</v>
      </c>
      <c r="E55" s="21" t="n">
        <v>743.4</v>
      </c>
      <c r="F55" s="8">
        <f>D55*E55</f>
        <v/>
      </c>
      <c r="G55" s="22" t="inlineStr">
        <is>
          <t>PRIX DE VENTE = (fourniture 302.40 € + MO 248.00 € [4 h SSI]) × k 1.3506. Détail : onglet « Détail chiffrage ». | Source fourniture : Fourniture seule AVISS devis AE2610CO901 v2 du 13/10/2026 : CONCEPT 3 (177 €) + 1 DM 4710R1 (23,40 €) + capot CPDM (4 €) + télécommande TMS-300 (98 €) - pose/câblage/MO à ajouter</t>
        </is>
      </c>
    </row>
    <row r="56">
      <c r="A56" s="6" t="n"/>
      <c r="B56" s="6" t="inlineStr">
        <is>
          <t>Fourniture, pose et raccordement centrale type 3 SSI Poste Energie Hub 2, y compris déclencheurs manuels et sirenes</t>
        </is>
      </c>
      <c r="C56" s="6" t="inlineStr">
        <is>
          <t>Ens</t>
        </is>
      </c>
      <c r="D56" s="6" t="n">
        <v>1</v>
      </c>
      <c r="E56" s="21" t="n">
        <v>901.15</v>
      </c>
      <c r="F56" s="8">
        <f>D56*E56</f>
        <v/>
      </c>
      <c r="G56" s="22" t="inlineStr">
        <is>
          <t>PRIX DE VENTE = (fourniture 357.20 € + MO 310.00 € [5 h SSI]) × k 1.3506. Détail : onglet « Détail chiffrage ». | Source fourniture : Fourniture seule AVISS devis AE2610CO901 v2 du 13/10/2026 : CONCEPT 3 (177 €) + 3 DM 4710R1 (70,20 €) + 3 capots CPDM (12 €) + télécommande TMS-300 (98 €) - pose/câblage/MO à ajouter</t>
        </is>
      </c>
    </row>
    <row r="57">
      <c r="A57" s="6" t="inlineStr">
        <is>
          <t>Hors lot</t>
        </is>
      </c>
      <c r="B57" s="7" t="inlineStr">
        <is>
          <t>Fourniture, pose et raccordement centrale type 4 SSI Ilots 1 et 2, y compris déclencheurs manuels et sirenes</t>
        </is>
      </c>
      <c r="C57" s="6" t="n"/>
      <c r="D57" s="6" t="n"/>
      <c r="E57" s="8" t="n"/>
      <c r="F57" s="8" t="n"/>
      <c r="G57" s="6" t="n"/>
    </row>
    <row r="58">
      <c r="A58" s="6" t="n"/>
      <c r="B58" s="6" t="inlineStr">
        <is>
          <t>Fourniture, pose et raccordement déclencheurs manuels chantier</t>
        </is>
      </c>
      <c r="C58" s="6" t="inlineStr">
        <is>
          <t>Ens</t>
        </is>
      </c>
      <c r="D58" s="6" t="n">
        <v>1</v>
      </c>
      <c r="E58" s="21" t="n">
        <v>7887.79</v>
      </c>
      <c r="F58" s="8">
        <f>D58*E58</f>
        <v/>
      </c>
      <c r="G58" s="22" t="inlineStr">
        <is>
          <t>PRIX DE VENTE = (fourniture 3168.00 € + MO 2672.00 € [54.4 h Mont, 8 h SSI]) × k 1.3506. Fourniture ajoutée estimative. Détail : onglet « Détail chiffrage ». | Source fourniture : Fourniture seule AVISS devis AE2610CO901 v2 du 13/10/2026 : 16 DM étanches IP65 4713R1C avec capot à 86 € (implantation PROSYB : 4 accès, 4 zones, 8 en périphérie du bâtiment) - pose/câblage/MO à ajouter</t>
        </is>
      </c>
    </row>
    <row r="59">
      <c r="A59" s="6" t="n"/>
      <c r="B59" s="6" t="inlineStr">
        <is>
          <t>Fourniture, pose et raccordement diffuseurs sonores chantier</t>
        </is>
      </c>
      <c r="C59" s="6" t="inlineStr">
        <is>
          <t>Ens</t>
        </is>
      </c>
      <c r="D59" s="6" t="n">
        <v>1</v>
      </c>
      <c r="E59" s="21" t="n">
        <v>8039.06</v>
      </c>
      <c r="F59" s="8">
        <f>D59*E59</f>
        <v/>
      </c>
      <c r="G59" s="22" t="inlineStr">
        <is>
          <t>PRIX DE VENTE = (fourniture 3948.00 € + MO 2004.00 € [40.8 h Mont, 6 h SSI]) × k 1.3506. Fourniture ajoutée estimative. Détail : onglet « Détail chiffrage ». | Source fourniture : Fourniture seule AVISS devis AE2610CO901 v2 du 13/10/2026 : 12 équipements d'alarme sonores et lumineux CONCEPT 3 (BAAS Ma, IP45) à 177 € utilisés comme diffuseurs chantier - pose/câblage/MO à ajouter ; IP45 à protéger des intempéries (pose sous abri)</t>
        </is>
      </c>
    </row>
    <row r="60">
      <c r="A60" s="6" t="n"/>
      <c r="B60" s="6" t="inlineStr">
        <is>
          <t>Paramétrage et mise en service</t>
        </is>
      </c>
      <c r="C60" s="6" t="inlineStr">
        <is>
          <t>Ens</t>
        </is>
      </c>
      <c r="D60" s="6" t="n">
        <v>1</v>
      </c>
      <c r="E60" s="21" t="n">
        <v>1480.31</v>
      </c>
      <c r="F60" s="8">
        <f>D60*E60</f>
        <v/>
      </c>
      <c r="G60" s="22" t="inlineStr">
        <is>
          <t xml:space="preserve">PRIX DE VENTE = (fourniture 0.00 € + MO 1096.00 € [8 h SSI, 8 h BE]) × k 1.3506. Détail : onglet « Détail chiffrage ». | Source fourniture : </t>
        </is>
      </c>
    </row>
    <row r="61">
      <c r="A61" s="4" t="inlineStr">
        <is>
          <t>5.2</t>
        </is>
      </c>
      <c r="B61" s="4" t="inlineStr">
        <is>
          <t>Phase 3 (5 mois)</t>
        </is>
      </c>
      <c r="C61" s="4" t="n"/>
      <c r="D61" s="4" t="n"/>
      <c r="E61" s="5" t="n"/>
      <c r="F61" s="5" t="n"/>
      <c r="G61" s="4" t="n"/>
    </row>
    <row r="62">
      <c r="A62" s="6" t="n"/>
      <c r="B62" s="6" t="inlineStr">
        <is>
          <t>Fourniture, pose et raccordement liaisons coffret report de contact SSI vers centrales SSI îlots 3 à 10</t>
        </is>
      </c>
      <c r="C62" s="6" t="inlineStr">
        <is>
          <t>Ens</t>
        </is>
      </c>
      <c r="D62" s="6" t="n">
        <v>1</v>
      </c>
      <c r="E62" s="21" t="n">
        <v>11745.25</v>
      </c>
      <c r="F62" s="8">
        <f>D62*E62</f>
        <v/>
      </c>
      <c r="G62" s="22" t="inlineStr">
        <is>
          <t xml:space="preserve">PRIX DE VENTE = (fourniture 5800.00 € + MO 2896.00 € [60 h Mont, 8 h SSI]) × k 1.3506. Fourniture ajoutée estimative. Détail : onglet « Détail chiffrage ». | Source fourniture : </t>
        </is>
      </c>
    </row>
    <row r="63">
      <c r="A63" s="6" t="inlineStr">
        <is>
          <t>Hors lot</t>
        </is>
      </c>
      <c r="B63" s="7" t="inlineStr">
        <is>
          <t>Fourniture, pose et raccordement centrale type 4 SSI Ilots 3 à 10, y compris déclencheurs manuels et sirenes</t>
        </is>
      </c>
      <c r="C63" s="6" t="n"/>
      <c r="D63" s="6" t="n"/>
      <c r="E63" s="8" t="n"/>
      <c r="F63" s="8" t="n"/>
      <c r="G63" s="6" t="n"/>
    </row>
    <row r="64">
      <c r="A64" s="6" t="n"/>
      <c r="B64" s="6" t="inlineStr">
        <is>
          <t>Paramétrage et mise en service</t>
        </is>
      </c>
      <c r="C64" s="6" t="inlineStr">
        <is>
          <t>Ens</t>
        </is>
      </c>
      <c r="D64" s="6" t="n">
        <v>1</v>
      </c>
      <c r="E64" s="21" t="n">
        <v>705.04</v>
      </c>
      <c r="F64" s="8">
        <f>D64*E64</f>
        <v/>
      </c>
      <c r="G64" s="22" t="inlineStr">
        <is>
          <t xml:space="preserve">PRIX DE VENTE = (fourniture 0.00 € + MO 522.00 € [6 h SSI, 2 h BE]) × k 1.3506. Détail : onglet « Détail chiffrage ». | Source fourniture : </t>
        </is>
      </c>
    </row>
    <row r="65">
      <c r="A65" s="4" t="inlineStr">
        <is>
          <t>5.3</t>
        </is>
      </c>
      <c r="B65" s="4" t="inlineStr">
        <is>
          <t>Phase 4 (17 mois)</t>
        </is>
      </c>
      <c r="C65" s="4" t="n"/>
      <c r="D65" s="4" t="n"/>
      <c r="E65" s="5" t="n"/>
      <c r="F65" s="5" t="n"/>
      <c r="G65" s="4" t="n"/>
    </row>
    <row r="66">
      <c r="A66" s="6" t="n"/>
      <c r="B66" s="6" t="inlineStr">
        <is>
          <t>Fourniture, pose et raccordement centrale type 3 SSI Poste Energie Hub 3, y compris déclencheurs manuels et sirenes</t>
        </is>
      </c>
      <c r="C66" s="6" t="inlineStr">
        <is>
          <t>Ens</t>
        </is>
      </c>
      <c r="D66" s="6" t="n">
        <v>1</v>
      </c>
      <c r="E66" s="21" t="n">
        <v>743.4</v>
      </c>
      <c r="F66" s="8">
        <f>D66*E66</f>
        <v/>
      </c>
      <c r="G66" s="22" t="inlineStr">
        <is>
          <t>PRIX DE VENTE = (fourniture 302.40 € + MO 248.00 € [4 h SSI]) × k 1.3506. Détail : onglet « Détail chiffrage ». | Source fourniture : Fourniture seule AVISS devis AE2610CO901 v2 du 13/10/2026 : CONCEPT 3 (177 €) + 1 DM 4710R1 (23,40 €) + capot CPDM (4 €) + télécommande TMS-300 (98 €) - pose/câblage/MO à ajouter</t>
        </is>
      </c>
    </row>
    <row r="67">
      <c r="A67" s="6" t="n"/>
      <c r="B67" s="6" t="inlineStr">
        <is>
          <t>Fourniture, pose et raccordement liaisons coffret report de contact SSI vers alarmes Type 3 SSI îlots 1 à 20, poste énergie Hub 3</t>
        </is>
      </c>
      <c r="C67" s="6" t="inlineStr">
        <is>
          <t>Ens</t>
        </is>
      </c>
      <c r="D67" s="6" t="n">
        <v>1</v>
      </c>
      <c r="E67" s="21" t="n">
        <v>17950.13</v>
      </c>
      <c r="F67" s="8">
        <f>D67*E67</f>
        <v/>
      </c>
      <c r="G67" s="22" t="inlineStr">
        <is>
          <t xml:space="preserve">PRIX DE VENTE = (fourniture 9050.00 € + MO 4240.00 € [75 h Mont, 20 h SSI]) × k 1.3506. Fourniture ajoutée estimative. Détail : onglet « Détail chiffrage ». | Source fourniture : </t>
        </is>
      </c>
    </row>
    <row r="68">
      <c r="A68" s="6" t="inlineStr">
        <is>
          <t>Hors lot</t>
        </is>
      </c>
      <c r="B68" s="7" t="inlineStr">
        <is>
          <t>Fourniture, pose et raccordement centrale type 3 SSI Ilots 1 à 20, y compris déclencheurs manuels et sirenes</t>
        </is>
      </c>
      <c r="C68" s="6" t="n"/>
      <c r="D68" s="6" t="n"/>
      <c r="E68" s="8" t="n"/>
      <c r="F68" s="8" t="n"/>
      <c r="G68" s="6" t="n"/>
    </row>
    <row r="69">
      <c r="A69" s="6" t="n"/>
      <c r="B69" s="6" t="inlineStr">
        <is>
          <t>Paramétrage et mise en service</t>
        </is>
      </c>
      <c r="C69" s="6" t="inlineStr">
        <is>
          <t>Ens</t>
        </is>
      </c>
      <c r="D69" s="6" t="n">
        <v>1</v>
      </c>
      <c r="E69" s="21" t="n">
        <v>1075.12</v>
      </c>
      <c r="F69" s="8">
        <f>D69*E69</f>
        <v/>
      </c>
      <c r="G69" s="22" t="inlineStr">
        <is>
          <t xml:space="preserve">PRIX DE VENTE = (fourniture 0.00 € + MO 796.00 € [8 h SSI, 4 h BE]) × k 1.3506. Détail : onglet « Détail chiffrage ». | Source fourniture : </t>
        </is>
      </c>
    </row>
    <row r="70"/>
    <row r="71">
      <c r="A71" s="2" t="inlineStr">
        <is>
          <t>6</t>
        </is>
      </c>
      <c r="B71" s="2" t="inlineStr">
        <is>
          <t>VIDEOSURVEILLANCE</t>
        </is>
      </c>
      <c r="C71" s="2" t="n"/>
      <c r="D71" s="2" t="n"/>
      <c r="E71" s="3" t="n"/>
      <c r="F71" s="3" t="n"/>
      <c r="G71" s="2" t="n"/>
    </row>
    <row r="72">
      <c r="A72" s="4" t="inlineStr">
        <is>
          <t>6.1</t>
        </is>
      </c>
      <c r="B72" s="4" t="inlineStr">
        <is>
          <t>Phase 3 (5 mois)</t>
        </is>
      </c>
      <c r="C72" s="4" t="n"/>
      <c r="D72" s="4" t="n"/>
      <c r="E72" s="5" t="n"/>
      <c r="F72" s="5" t="n"/>
      <c r="G72" s="4" t="n"/>
    </row>
    <row r="73">
      <c r="A73" s="6" t="inlineStr">
        <is>
          <t>LOT GC</t>
        </is>
      </c>
      <c r="B73" s="6" t="inlineStr">
        <is>
          <t>Réalisation massif support candélabres pour mât caméra</t>
        </is>
      </c>
      <c r="C73" s="6" t="inlineStr">
        <is>
          <t>U</t>
        </is>
      </c>
      <c r="D73" s="6" t="n">
        <v>28</v>
      </c>
      <c r="E73" s="8" t="n"/>
      <c r="F73" s="8">
        <f>D73*E73</f>
        <v/>
      </c>
      <c r="G73" s="6" t="inlineStr">
        <is>
          <t>Hors PROSYB (lot GC).</t>
        </is>
      </c>
    </row>
    <row r="74">
      <c r="A74" s="6" t="n"/>
      <c r="B74" s="6" t="inlineStr">
        <is>
          <t>Fourniture, pose et raccordement caméra fixe + mât (28 Caméras), avec maillage zone chantier + périphérie y compris intrusion marque HIKVISION</t>
        </is>
      </c>
      <c r="C74" s="6" t="inlineStr">
        <is>
          <t>U</t>
        </is>
      </c>
      <c r="D74" s="6" t="n">
        <v>28</v>
      </c>
      <c r="E74" s="21" t="n">
        <v>941.98</v>
      </c>
      <c r="F74" s="8">
        <f>D74*E74</f>
        <v/>
      </c>
      <c r="G74" s="22" t="inlineStr">
        <is>
          <t>PRIX DE VENTE = (fourniture 442.14 € + MO 210.00 € [4.5 h Mont, 0.5 h Tech]) × k 1.4444. Fourniture ajoutée estimative. Détail : onglet « Détail chiffrage ». | Source fourniture : Fourniture seule CCF devis 313371 du 12/10/2026 (caméra IP Bullet 4MP HIKVISION, 142,14€/u) - pose/mât/MO à ajouter</t>
        </is>
      </c>
    </row>
    <row r="75">
      <c r="A75" s="6" t="n"/>
      <c r="B75" s="6" t="inlineStr">
        <is>
          <t>Fourniture, pose et raccordement liaison RJ45 CAT6A F/STP POE pour alimentation caméras + switchs industriels rail DIN de vidéoprotection dans coffrets de zone (coffrets fournis et posés par SPIE)</t>
        </is>
      </c>
      <c r="C75" s="6" t="inlineStr">
        <is>
          <t>Ens</t>
        </is>
      </c>
      <c r="D75" s="6" t="n">
        <v>1</v>
      </c>
      <c r="E75" s="21" t="n">
        <v>18219.64</v>
      </c>
      <c r="F75" s="8">
        <f>D75*E75</f>
        <v/>
      </c>
      <c r="G75" s="22" t="inlineStr">
        <is>
          <t>PRIX DE VENTE = (fourniture 9413.60 € + MO 3200.00 € [56 h Mont, 16 h Tech]) × k 1.4444. Fourniture ajoutée estimative. Détail : onglet « Détail chiffrage ». | Source fourniture : Fourniture CCF devis 313371 du 12/10/2026 : 8 switchs industriels PoE rail DIN (3644,56€) + modules alim 48VDC (1874,88€) + boîtiers optiques rail DIN (307,68€) + modules SFP (870,48€). AUCUNE enveloppe/coffret extérieur à prévoir : coffret électrique fourni et posé par SPIE (lot élec, Ahmed 16/10/2026) ; PROSYB y amène fibre + liaisons caméras et installe le matériel. Pose/MO à ajouter.</t>
        </is>
      </c>
    </row>
    <row r="76">
      <c r="A76" s="6" t="n"/>
      <c r="B76" s="6" t="inlineStr">
        <is>
          <t>Enregistreur NVR marque HIKVISION</t>
        </is>
      </c>
      <c r="C76" s="6" t="inlineStr">
        <is>
          <t>Ens</t>
        </is>
      </c>
      <c r="D76" s="6" t="n">
        <v>1</v>
      </c>
      <c r="E76" s="21" t="n">
        <v>3513.06</v>
      </c>
      <c r="F76" s="8">
        <f>D76*E76</f>
        <v/>
      </c>
      <c r="G76" s="22" t="inlineStr">
        <is>
          <t>PRIX DE VENTE = (fourniture 2252.12 € + MO 180.00 € [3 h Tech]) × k 1.4444. Détail : onglet « Détail chiffrage ». | Source fourniture : Fourniture CCF devis 313371 du 12/10/2026 : NVR 32 canaux (706,67€) + HDD 20TB (1545,45€)</t>
        </is>
      </c>
    </row>
    <row r="77">
      <c r="A77" s="6" t="n"/>
      <c r="B77" s="6" t="inlineStr">
        <is>
          <t>Paramétrage / Logiciel (analyse comportementale et port des EPI, intrusion périphérique)</t>
        </is>
      </c>
      <c r="C77" s="6" t="inlineStr">
        <is>
          <t>Ens</t>
        </is>
      </c>
      <c r="D77" s="6" t="n">
        <v>1</v>
      </c>
      <c r="E77" s="21" t="n">
        <v>6635.45</v>
      </c>
      <c r="F77" s="8">
        <f>D77*E77</f>
        <v/>
      </c>
      <c r="G77" s="22" t="inlineStr">
        <is>
          <t>PRIX DE VENTE = (fourniture 933.77 € + MO 3660.00 € [36 h Tech, 20 h BE]) × k 1.4444. Détail : onglet « Détail chiffrage ». | Source fourniture : Fourniture CCF devis 313371 du 12/10/2026 : unité de supervision PCAM Inspiron 13 (933,77€)</t>
        </is>
      </c>
    </row>
    <row r="78">
      <c r="A78" s="6" t="n"/>
      <c r="B78" s="6" t="inlineStr">
        <is>
          <t>Recettage cuivre</t>
        </is>
      </c>
      <c r="C78" s="6" t="inlineStr">
        <is>
          <t>Ens</t>
        </is>
      </c>
      <c r="D78" s="6" t="n">
        <v>1</v>
      </c>
      <c r="E78" s="21" t="n">
        <v>433.33</v>
      </c>
      <c r="F78" s="8">
        <f>D78*E78</f>
        <v/>
      </c>
      <c r="G78" s="22" t="inlineStr">
        <is>
          <t xml:space="preserve">PRIX DE VENTE = (fourniture 0.00 € + MO 300.00 € [5 h Tech]) × k 1.4444. Détail : onglet « Détail chiffrage ». | Source fourniture : </t>
        </is>
      </c>
    </row>
    <row r="79"/>
    <row r="80">
      <c r="A80" s="2" t="inlineStr">
        <is>
          <t>7</t>
        </is>
      </c>
      <c r="B80" s="2" t="inlineStr">
        <is>
          <t>GTB / GTE</t>
        </is>
      </c>
      <c r="C80" s="2" t="n"/>
      <c r="D80" s="2" t="n"/>
      <c r="E80" s="3" t="n"/>
      <c r="F80" s="3" t="n"/>
      <c r="G80" s="2" t="n"/>
    </row>
    <row r="81">
      <c r="A81" s="6" t="n"/>
      <c r="B81" s="6" t="inlineStr">
        <is>
          <t>Fourniture, pose et raccordement automate WAGO avec interface Ethernet modbus TCP/IP TGBT Hub 1, Hub 2 et Hub 3</t>
        </is>
      </c>
      <c r="C81" s="6" t="inlineStr">
        <is>
          <t>U</t>
        </is>
      </c>
      <c r="D81" s="6" t="n">
        <v>3</v>
      </c>
      <c r="E81" s="21" t="n">
        <v>1444.44</v>
      </c>
      <c r="F81" s="8">
        <f>D81*E81</f>
        <v/>
      </c>
      <c r="G81" s="22" t="inlineStr">
        <is>
          <t xml:space="preserve">PRIX DE VENTE = (fourniture 820.00 € + MO 180.00 € [3 h Tech]) × k 1.4444. Fourniture ajoutée estimative. Détail : onglet « Détail chiffrage ». | Source fourniture : </t>
        </is>
      </c>
    </row>
    <row r="82">
      <c r="A82" s="6" t="n"/>
      <c r="B82" s="6" t="inlineStr">
        <is>
          <t>Fourniture, pose et raccordement alimentation automate WAGO</t>
        </is>
      </c>
      <c r="C82" s="6" t="inlineStr">
        <is>
          <t>U</t>
        </is>
      </c>
      <c r="D82" s="6" t="n">
        <v>3</v>
      </c>
      <c r="E82" s="21" t="n">
        <v>260</v>
      </c>
      <c r="F82" s="8">
        <f>D82*E82</f>
        <v/>
      </c>
      <c r="G82" s="22" t="inlineStr">
        <is>
          <t xml:space="preserve">PRIX DE VENTE = (fourniture 150.00 € + MO 30.00 € [0.5 h Tech]) × k 1.4444. Fourniture ajoutée estimative. Détail : onglet « Détail chiffrage ». | Source fourniture : </t>
        </is>
      </c>
    </row>
    <row r="83">
      <c r="A83" s="6" t="n"/>
      <c r="B83" s="6" t="inlineStr">
        <is>
          <t>Fourniture, pose et raccordement liaison WAGO vers switch GTB</t>
        </is>
      </c>
      <c r="C83" s="6" t="inlineStr">
        <is>
          <t>U</t>
        </is>
      </c>
      <c r="D83" s="6" t="n">
        <v>3</v>
      </c>
      <c r="E83" s="21" t="n">
        <v>101.11</v>
      </c>
      <c r="F83" s="8">
        <f>D83*E83</f>
        <v/>
      </c>
      <c r="G83" s="22" t="inlineStr">
        <is>
          <t xml:space="preserve">PRIX DE VENTE = (fourniture 30.00 € + MO 40.00 € [1 h Mont]) × k 1.4444. Fourniture ajoutée estimative. Détail : onglet « Détail chiffrage ». | Source fourniture : </t>
        </is>
      </c>
    </row>
    <row r="84">
      <c r="A84" s="6" t="n"/>
      <c r="B84" s="6" t="inlineStr">
        <is>
          <t>Fourniture, pose et raccordement liaison interne contacts SD vers automate WAGO dans les TGBT Hub 1, Hub 2 et Hub 3</t>
        </is>
      </c>
      <c r="C84" s="6" t="inlineStr">
        <is>
          <t>U</t>
        </is>
      </c>
      <c r="D84" s="6" t="n">
        <v>3</v>
      </c>
      <c r="E84" s="21" t="n">
        <v>491.11</v>
      </c>
      <c r="F84" s="8">
        <f>D84*E84</f>
        <v/>
      </c>
      <c r="G84" s="22" t="inlineStr">
        <is>
          <t xml:space="preserve">PRIX DE VENTE = (fourniture 80.00 € + MO 260.00 € [5 h Mont, 1 h Tech]) × k 1.4444. Fourniture ajoutée estimative. Détail : onglet « Détail chiffrage ». | Source fourniture : </t>
        </is>
      </c>
    </row>
    <row r="85">
      <c r="A85" s="6" t="n"/>
      <c r="B85" s="6" t="inlineStr">
        <is>
          <t>Fourniture, pose et raccordement liaison interne compteur d'énergie TGBT Hub 1, 2 et 3 vers automate WAGO</t>
        </is>
      </c>
      <c r="C85" s="6" t="inlineStr">
        <is>
          <t>U</t>
        </is>
      </c>
      <c r="D85" s="6" t="n">
        <v>3</v>
      </c>
      <c r="E85" s="21" t="n">
        <v>260</v>
      </c>
      <c r="F85" s="8">
        <f>D85*E85</f>
        <v/>
      </c>
      <c r="G85" s="22" t="inlineStr">
        <is>
          <t xml:space="preserve">PRIX DE VENTE = (fourniture 40.00 € + MO 140.00 € [2 h Mont, 1 h Tech]) × k 1.4444. Fourniture ajoutée estimative. Détail : onglet « Détail chiffrage ». | Source fourniture : </t>
        </is>
      </c>
    </row>
    <row r="86">
      <c r="A86" s="6" t="n"/>
      <c r="B86" s="6" t="inlineStr">
        <is>
          <t>Fourniture, pose et raccordement ordinateur fixe avec 2 écrans au niveau du poste de garde</t>
        </is>
      </c>
      <c r="C86" s="6" t="inlineStr">
        <is>
          <t>U</t>
        </is>
      </c>
      <c r="D86" s="6" t="n">
        <v>1</v>
      </c>
      <c r="E86" s="21" t="n">
        <v>1921.11</v>
      </c>
      <c r="F86" s="8">
        <f>D86*E86</f>
        <v/>
      </c>
      <c r="G86" s="22" t="inlineStr">
        <is>
          <t xml:space="preserve">PRIX DE VENTE = (fourniture 1150.00 € + MO 180.00 € [3 h Tech]) × k 1.4444. Fourniture ajoutée estimative. Détail : onglet « Détail chiffrage ». | Source fourniture : </t>
        </is>
      </c>
    </row>
    <row r="87">
      <c r="A87" s="6" t="n"/>
      <c r="B87" s="6" t="inlineStr">
        <is>
          <t>Paramétrage / Logiciel avec historisation (Licence, dashboards consos, alertes SMS/Mail)</t>
        </is>
      </c>
      <c r="C87" s="6" t="inlineStr">
        <is>
          <t>Ens</t>
        </is>
      </c>
      <c r="D87" s="6" t="n">
        <v>1</v>
      </c>
      <c r="E87" s="21" t="n">
        <v>5561.11</v>
      </c>
      <c r="F87" s="8">
        <f>D87*E87</f>
        <v/>
      </c>
      <c r="G87" s="22" t="inlineStr">
        <is>
          <t xml:space="preserve">PRIX DE VENTE = (fourniture 250.00 € + MO 3600.00 € [40 h Tech, 16 h BE]) × k 1.4444. Fourniture ajoutée estimative. Détail : onglet « Détail chiffrage ». | Source fourniture :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48" customWidth="1" min="3" max="3"/>
    <col width="5" customWidth="1" min="4" max="4"/>
    <col width="5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1" customWidth="1" min="13" max="13"/>
    <col width="8" customWidth="1" min="14" max="14"/>
    <col width="11" customWidth="1" min="15" max="15"/>
    <col width="12" customWidth="1" min="16" max="16"/>
    <col width="12" customWidth="1" min="17" max="17"/>
    <col width="80" customWidth="1" min="18" max="18"/>
  </cols>
  <sheetData>
    <row r="1">
      <c r="A1" s="23" t="inlineStr">
        <is>
          <t>Ligne</t>
        </is>
      </c>
      <c r="B1" s="23" t="inlineStr">
        <is>
          <t>Lot</t>
        </is>
      </c>
      <c r="C1" s="23" t="inlineStr">
        <is>
          <t>Désignation</t>
        </is>
      </c>
      <c r="D1" s="23" t="inlineStr">
        <is>
          <t>U</t>
        </is>
      </c>
      <c r="E1" s="23" t="inlineStr">
        <is>
          <t>Qté</t>
        </is>
      </c>
      <c r="F1" s="23" t="inlineStr">
        <is>
          <t>Fourn. devis PR/u</t>
        </is>
      </c>
      <c r="G1" s="23" t="inlineStr">
        <is>
          <t>Fourn. ajoutée PR/u</t>
        </is>
      </c>
      <c r="H1" s="23" t="inlineStr">
        <is>
          <t>h Monteur/u</t>
        </is>
      </c>
      <c r="I1" s="23" t="inlineStr">
        <is>
          <t>h Tech CFA/u</t>
        </is>
      </c>
      <c r="J1" s="23" t="inlineStr">
        <is>
          <t>h Tech SSI/u</t>
        </is>
      </c>
      <c r="K1" s="23" t="inlineStr">
        <is>
          <t>h BE/u</t>
        </is>
      </c>
      <c r="L1" s="23" t="inlineStr">
        <is>
          <t>MO PR/u</t>
        </is>
      </c>
      <c r="M1" s="23" t="inlineStr">
        <is>
          <t>PR/u</t>
        </is>
      </c>
      <c r="N1" s="23" t="inlineStr">
        <is>
          <t>Coef. k</t>
        </is>
      </c>
      <c r="O1" s="23" t="inlineStr">
        <is>
          <t>PV/u</t>
        </is>
      </c>
      <c r="P1" s="23" t="inlineStr">
        <is>
          <t>PV total</t>
        </is>
      </c>
      <c r="Q1" s="23" t="inlineStr">
        <is>
          <t>PR total</t>
        </is>
      </c>
      <c r="R1" s="23" t="inlineStr">
        <is>
          <t>Hypothèses MO et fournitures ajoutées</t>
        </is>
      </c>
    </row>
    <row r="2">
      <c r="A2" s="6" t="n">
        <v>5</v>
      </c>
      <c r="B2" s="6" t="inlineStr">
        <is>
          <t>4</t>
        </is>
      </c>
      <c r="C2" s="6" t="inlineStr">
        <is>
          <t>Fourniture, pose et raccordement répartiteur informatique principal dans poste énergie Hub 1, incluant switch PoE (switch d'agrégation vidéoprotection fourni par PROSYB)</t>
        </is>
      </c>
      <c r="D2" s="6" t="inlineStr">
        <is>
          <t>Ens</t>
        </is>
      </c>
      <c r="E2" s="6" t="n">
        <v>1</v>
      </c>
      <c r="F2" s="8" t="n">
        <v>1420.88</v>
      </c>
      <c r="G2" s="8" t="n">
        <v>0</v>
      </c>
      <c r="H2" s="8" t="n">
        <v>0</v>
      </c>
      <c r="I2" s="8" t="n">
        <v>5</v>
      </c>
      <c r="J2" s="8" t="n">
        <v>0</v>
      </c>
      <c r="K2" s="8" t="n">
        <v>0</v>
      </c>
      <c r="L2" s="8" t="n">
        <v>300</v>
      </c>
      <c r="M2" s="8" t="n">
        <v>1720.88</v>
      </c>
      <c r="N2" s="8" t="n">
        <v>1.4444</v>
      </c>
      <c r="O2" s="8" t="n">
        <v>2485.72</v>
      </c>
      <c r="P2" s="8" t="n">
        <v>2485.72</v>
      </c>
      <c r="Q2" s="8" t="n">
        <v>1720.88</v>
      </c>
      <c r="R2" s="6" t="inlineStr">
        <is>
          <t>Pose baie 42U + équipement (4 h, réf. baie GTB SAFRAN) + pose switch L3 (1 h) ; paramétrage en ligne 14</t>
        </is>
      </c>
    </row>
    <row r="3">
      <c r="A3" s="6" t="n">
        <v>6</v>
      </c>
      <c r="B3" s="6" t="inlineStr">
        <is>
          <t>4</t>
        </is>
      </c>
      <c r="C3" s="6" t="inlineStr">
        <is>
          <t>Fourniture, pose et raccordement répartiteur informatique principal dans poste énergie Hub 2 — switch fourni par EXYTE, pose et paramétrage PROSYB</t>
        </is>
      </c>
      <c r="D3" s="6" t="inlineStr">
        <is>
          <t>Ens</t>
        </is>
      </c>
      <c r="E3" s="6" t="n">
        <v>1</v>
      </c>
      <c r="F3" s="8" t="n">
        <v>634.85</v>
      </c>
      <c r="G3" s="8" t="n">
        <v>0</v>
      </c>
      <c r="H3" s="8" t="n">
        <v>0</v>
      </c>
      <c r="I3" s="8" t="n">
        <v>5</v>
      </c>
      <c r="J3" s="8" t="n">
        <v>0</v>
      </c>
      <c r="K3" s="8" t="n">
        <v>0</v>
      </c>
      <c r="L3" s="8" t="n">
        <v>300</v>
      </c>
      <c r="M3" s="8" t="n">
        <v>934.85</v>
      </c>
      <c r="N3" s="8" t="n">
        <v>1.4444</v>
      </c>
      <c r="O3" s="8" t="n">
        <v>1350.34</v>
      </c>
      <c r="P3" s="8" t="n">
        <v>1350.34</v>
      </c>
      <c r="Q3" s="8" t="n">
        <v>934.85</v>
      </c>
      <c r="R3" s="6" t="inlineStr">
        <is>
          <t>Pose baie 42U + équipement (4 h) + pose switch EXYTE (1 h)</t>
        </is>
      </c>
    </row>
    <row r="4">
      <c r="A4" s="6" t="n">
        <v>7</v>
      </c>
      <c r="B4" s="6" t="inlineStr">
        <is>
          <t>4</t>
        </is>
      </c>
      <c r="C4" s="6" t="inlineStr">
        <is>
          <t>Fourniture, pose et raccordement répartiteur informatique secondaire Est 1 — switch fourni par EXYTE, pose et paramétrage PROSYB</t>
        </is>
      </c>
      <c r="D4" s="6" t="inlineStr">
        <is>
          <t>Ens</t>
        </is>
      </c>
      <c r="E4" s="6" t="n">
        <v>1</v>
      </c>
      <c r="F4" s="8" t="n">
        <v>0</v>
      </c>
      <c r="G4" s="8" t="n">
        <v>0</v>
      </c>
      <c r="H4" s="8" t="n">
        <v>0</v>
      </c>
      <c r="I4" s="8" t="n">
        <v>2</v>
      </c>
      <c r="J4" s="8" t="n">
        <v>0</v>
      </c>
      <c r="K4" s="8" t="n">
        <v>0</v>
      </c>
      <c r="L4" s="8" t="n">
        <v>120</v>
      </c>
      <c r="M4" s="8" t="n">
        <v>120</v>
      </c>
      <c r="N4" s="8" t="n">
        <v>1.4444</v>
      </c>
      <c r="O4" s="8" t="n">
        <v>173.33</v>
      </c>
      <c r="P4" s="8" t="n">
        <v>173.33</v>
      </c>
      <c r="Q4" s="8" t="n">
        <v>120</v>
      </c>
      <c r="R4" s="6" t="inlineStr">
        <is>
          <t>Intégration tiroir optique, panneau et switch EXYTE dans coffret SPIE (réf. coffret Vaires 2 h)</t>
        </is>
      </c>
    </row>
    <row r="5">
      <c r="A5" s="6" t="n">
        <v>8</v>
      </c>
      <c r="B5" s="6" t="inlineStr">
        <is>
          <t>4</t>
        </is>
      </c>
      <c r="C5" s="6" t="inlineStr">
        <is>
          <t>Fourniture, pose et raccordement répartiteur informatique secondaire Est 2 — switch fourni par EXYTE, pose et paramétrage PROSYB</t>
        </is>
      </c>
      <c r="D5" s="6" t="inlineStr">
        <is>
          <t>Ens</t>
        </is>
      </c>
      <c r="E5" s="6" t="n">
        <v>1</v>
      </c>
      <c r="F5" s="8" t="n">
        <v>0</v>
      </c>
      <c r="G5" s="8" t="n">
        <v>0</v>
      </c>
      <c r="H5" s="8" t="n">
        <v>0</v>
      </c>
      <c r="I5" s="8" t="n">
        <v>2</v>
      </c>
      <c r="J5" s="8" t="n">
        <v>0</v>
      </c>
      <c r="K5" s="8" t="n">
        <v>0</v>
      </c>
      <c r="L5" s="8" t="n">
        <v>120</v>
      </c>
      <c r="M5" s="8" t="n">
        <v>120</v>
      </c>
      <c r="N5" s="8" t="n">
        <v>1.4444</v>
      </c>
      <c r="O5" s="8" t="n">
        <v>173.33</v>
      </c>
      <c r="P5" s="8" t="n">
        <v>173.33</v>
      </c>
      <c r="Q5" s="8" t="n">
        <v>120</v>
      </c>
      <c r="R5" s="6" t="inlineStr">
        <is>
          <t>Idem Est 1</t>
        </is>
      </c>
    </row>
    <row r="6">
      <c r="A6" s="6" t="n">
        <v>9</v>
      </c>
      <c r="B6" s="6" t="inlineStr">
        <is>
          <t>4</t>
        </is>
      </c>
      <c r="C6" s="6" t="inlineStr">
        <is>
          <t>Fourniture, pose et raccordement répartiteur informatique secondaire Est 3 — switch fourni par EXYTE, pose et paramétrage PROSYB</t>
        </is>
      </c>
      <c r="D6" s="6" t="inlineStr">
        <is>
          <t>Ens</t>
        </is>
      </c>
      <c r="E6" s="6" t="n">
        <v>1</v>
      </c>
      <c r="F6" s="8" t="n">
        <v>0</v>
      </c>
      <c r="G6" s="8" t="n">
        <v>0</v>
      </c>
      <c r="H6" s="8" t="n">
        <v>0</v>
      </c>
      <c r="I6" s="8" t="n">
        <v>2</v>
      </c>
      <c r="J6" s="8" t="n">
        <v>0</v>
      </c>
      <c r="K6" s="8" t="n">
        <v>0</v>
      </c>
      <c r="L6" s="8" t="n">
        <v>120</v>
      </c>
      <c r="M6" s="8" t="n">
        <v>120</v>
      </c>
      <c r="N6" s="8" t="n">
        <v>1.4444</v>
      </c>
      <c r="O6" s="8" t="n">
        <v>173.33</v>
      </c>
      <c r="P6" s="8" t="n">
        <v>173.33</v>
      </c>
      <c r="Q6" s="8" t="n">
        <v>120</v>
      </c>
      <c r="R6" s="6" t="inlineStr">
        <is>
          <t>Idem Est 1</t>
        </is>
      </c>
    </row>
    <row r="7">
      <c r="A7" s="6" t="n">
        <v>10</v>
      </c>
      <c r="B7" s="6" t="inlineStr">
        <is>
          <t>4</t>
        </is>
      </c>
      <c r="C7" s="6" t="inlineStr">
        <is>
          <t>Fourniture, pose et raccordement répartiteur informatique secondaire Ouest 1 — switch fourni par EXYTE, pose et paramétrage PROSYB</t>
        </is>
      </c>
      <c r="D7" s="6" t="inlineStr">
        <is>
          <t>Ens</t>
        </is>
      </c>
      <c r="E7" s="6" t="n">
        <v>1</v>
      </c>
      <c r="F7" s="8" t="n">
        <v>0</v>
      </c>
      <c r="G7" s="8" t="n">
        <v>0</v>
      </c>
      <c r="H7" s="8" t="n">
        <v>0</v>
      </c>
      <c r="I7" s="8" t="n">
        <v>2</v>
      </c>
      <c r="J7" s="8" t="n">
        <v>0</v>
      </c>
      <c r="K7" s="8" t="n">
        <v>0</v>
      </c>
      <c r="L7" s="8" t="n">
        <v>120</v>
      </c>
      <c r="M7" s="8" t="n">
        <v>120</v>
      </c>
      <c r="N7" s="8" t="n">
        <v>1.4444</v>
      </c>
      <c r="O7" s="8" t="n">
        <v>173.33</v>
      </c>
      <c r="P7" s="8" t="n">
        <v>173.33</v>
      </c>
      <c r="Q7" s="8" t="n">
        <v>120</v>
      </c>
      <c r="R7" s="6" t="inlineStr">
        <is>
          <t>Idem Est 1</t>
        </is>
      </c>
    </row>
    <row r="8">
      <c r="A8" s="6" t="n">
        <v>11</v>
      </c>
      <c r="B8" s="6" t="inlineStr">
        <is>
          <t>4</t>
        </is>
      </c>
      <c r="C8" s="6" t="inlineStr">
        <is>
          <t>Fourniture, pose et raccordement répartiteur informatique secondaire Ouest 2 — switch fourni par EXYTE, pose et paramétrage PROSYB</t>
        </is>
      </c>
      <c r="D8" s="6" t="inlineStr">
        <is>
          <t>Ens</t>
        </is>
      </c>
      <c r="E8" s="6" t="n">
        <v>1</v>
      </c>
      <c r="F8" s="8" t="n">
        <v>0</v>
      </c>
      <c r="G8" s="8" t="n">
        <v>0</v>
      </c>
      <c r="H8" s="8" t="n">
        <v>0</v>
      </c>
      <c r="I8" s="8" t="n">
        <v>2</v>
      </c>
      <c r="J8" s="8" t="n">
        <v>0</v>
      </c>
      <c r="K8" s="8" t="n">
        <v>0</v>
      </c>
      <c r="L8" s="8" t="n">
        <v>120</v>
      </c>
      <c r="M8" s="8" t="n">
        <v>120</v>
      </c>
      <c r="N8" s="8" t="n">
        <v>1.4444</v>
      </c>
      <c r="O8" s="8" t="n">
        <v>173.33</v>
      </c>
      <c r="P8" s="8" t="n">
        <v>173.33</v>
      </c>
      <c r="Q8" s="8" t="n">
        <v>120</v>
      </c>
      <c r="R8" s="6" t="inlineStr">
        <is>
          <t>Idem Est 1</t>
        </is>
      </c>
    </row>
    <row r="9">
      <c r="A9" s="6" t="n">
        <v>12</v>
      </c>
      <c r="B9" s="6" t="inlineStr">
        <is>
          <t>4</t>
        </is>
      </c>
      <c r="C9" s="6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D9" s="6" t="inlineStr">
        <is>
          <t>Ens</t>
        </is>
      </c>
      <c r="E9" s="6" t="n">
        <v>1</v>
      </c>
      <c r="F9" s="8" t="n">
        <v>7094.92</v>
      </c>
      <c r="G9" s="8" t="n">
        <v>0</v>
      </c>
      <c r="H9" s="8" t="n">
        <v>72.5</v>
      </c>
      <c r="I9" s="8" t="n">
        <v>0</v>
      </c>
      <c r="J9" s="8" t="n">
        <v>0</v>
      </c>
      <c r="K9" s="8" t="n">
        <v>0</v>
      </c>
      <c r="L9" s="8" t="n">
        <v>2900</v>
      </c>
      <c r="M9" s="8" t="n">
        <v>9994.92</v>
      </c>
      <c r="N9" s="8" t="n">
        <v>1.4444</v>
      </c>
      <c r="O9" s="8" t="n">
        <v>14437.11</v>
      </c>
      <c r="P9" s="8" t="n">
        <v>14437.11</v>
      </c>
      <c r="Q9" s="8" t="n">
        <v>9994.92</v>
      </c>
      <c r="R9" s="6" t="inlineStr">
        <is>
          <t>Tirage fibre en fourreaux 2 900 ml à 2,5 h/100 ml (hypothèse optimiste, gros tronçons) ; fusion et tests par Octet Plus</t>
        </is>
      </c>
    </row>
    <row r="10">
      <c r="A10" s="6" t="n">
        <v>13</v>
      </c>
      <c r="B10" s="6" t="inlineStr">
        <is>
          <t>4</t>
        </is>
      </c>
      <c r="C10" s="6" t="inlineStr">
        <is>
          <t>Fourniture, pose et raccordement liaison fibre OS2 12 brins autocicatrisante depuis le répartiteur principal poste énergie Hub 1 vers le répartiteur princiapl Hub 2</t>
        </is>
      </c>
      <c r="D10" s="6" t="inlineStr">
        <is>
          <t>Ens</t>
        </is>
      </c>
      <c r="E10" s="6" t="n">
        <v>1</v>
      </c>
      <c r="F10" s="8" t="n">
        <v>1139.63</v>
      </c>
      <c r="G10" s="8" t="n">
        <v>0</v>
      </c>
      <c r="H10" s="8" t="n">
        <v>11.25</v>
      </c>
      <c r="I10" s="8" t="n">
        <v>0</v>
      </c>
      <c r="J10" s="8" t="n">
        <v>0</v>
      </c>
      <c r="K10" s="8" t="n">
        <v>0</v>
      </c>
      <c r="L10" s="8" t="n">
        <v>450</v>
      </c>
      <c r="M10" s="8" t="n">
        <v>1589.63</v>
      </c>
      <c r="N10" s="8" t="n">
        <v>1.4444</v>
      </c>
      <c r="O10" s="8" t="n">
        <v>2296.13</v>
      </c>
      <c r="P10" s="8" t="n">
        <v>2296.13</v>
      </c>
      <c r="Q10" s="8" t="n">
        <v>1589.63</v>
      </c>
      <c r="R10" s="6" t="inlineStr">
        <is>
          <t>Tirage 450 ml à 2,5 h/100 ml</t>
        </is>
      </c>
    </row>
    <row r="11">
      <c r="A11" s="6" t="n">
        <v>14</v>
      </c>
      <c r="B11" s="6" t="inlineStr">
        <is>
          <t>4</t>
        </is>
      </c>
      <c r="C11" s="6" t="inlineStr">
        <is>
          <t>Paramétrage équipements informatiques</t>
        </is>
      </c>
      <c r="D11" s="6" t="inlineStr">
        <is>
          <t>Ens</t>
        </is>
      </c>
      <c r="E11" s="6" t="n">
        <v>1</v>
      </c>
      <c r="F11" s="8" t="n">
        <v>0</v>
      </c>
      <c r="G11" s="8" t="n">
        <v>0</v>
      </c>
      <c r="H11" s="8" t="n">
        <v>0</v>
      </c>
      <c r="I11" s="8" t="n">
        <v>20</v>
      </c>
      <c r="J11" s="8" t="n">
        <v>0</v>
      </c>
      <c r="K11" s="8" t="n">
        <v>16</v>
      </c>
      <c r="L11" s="8" t="n">
        <v>2400</v>
      </c>
      <c r="M11" s="8" t="n">
        <v>2400</v>
      </c>
      <c r="N11" s="8" t="n">
        <v>1.4444</v>
      </c>
      <c r="O11" s="8" t="n">
        <v>3466.67</v>
      </c>
      <c r="P11" s="8" t="n">
        <v>3466.67</v>
      </c>
      <c r="Q11" s="8" t="n">
        <v>2400</v>
      </c>
      <c r="R11" s="6" t="inlineStr">
        <is>
          <t>Paramétrage P2 : switch L3 3 h + Hub 2 3 h + 5 secondaires × 1,5 h (réf. Vaires) + anneau/VLAN/supervision 6 h ; BE : plan d'adressage, VLAN, synoptiques, DOE IT (16 h)</t>
        </is>
      </c>
    </row>
    <row r="12">
      <c r="A12" s="6" t="n">
        <v>15</v>
      </c>
      <c r="B12" s="6" t="inlineStr">
        <is>
          <t>4</t>
        </is>
      </c>
      <c r="C12" s="6" t="inlineStr">
        <is>
          <t>Test de réfléctométrie</t>
        </is>
      </c>
      <c r="D12" s="6" t="inlineStr">
        <is>
          <t>Ens</t>
        </is>
      </c>
      <c r="E12" s="6" t="n">
        <v>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1.4444</v>
      </c>
      <c r="O12" s="8" t="n">
        <v>0</v>
      </c>
      <c r="P12" s="8" t="n">
        <v>0</v>
      </c>
      <c r="Q12" s="8" t="n">
        <v>0</v>
      </c>
      <c r="R12" s="6" t="inlineStr">
        <is>
          <t>Réflectométrie/photométrie réalisée par Octet Plus (incluse dans les lignes fibre)</t>
        </is>
      </c>
    </row>
    <row r="13">
      <c r="A13" s="6" t="n">
        <v>17</v>
      </c>
      <c r="B13" s="6" t="inlineStr">
        <is>
          <t>4</t>
        </is>
      </c>
      <c r="C13" s="6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D13" s="6" t="inlineStr">
        <is>
          <t>Ens</t>
        </is>
      </c>
      <c r="E13" s="6" t="n">
        <v>1</v>
      </c>
      <c r="F13" s="8" t="n">
        <v>770.76</v>
      </c>
      <c r="G13" s="8" t="n">
        <v>0</v>
      </c>
      <c r="H13" s="8" t="n">
        <v>28.8</v>
      </c>
      <c r="I13" s="8" t="n">
        <v>0</v>
      </c>
      <c r="J13" s="8" t="n">
        <v>0</v>
      </c>
      <c r="K13" s="8" t="n">
        <v>0</v>
      </c>
      <c r="L13" s="8" t="n">
        <v>1152</v>
      </c>
      <c r="M13" s="8" t="n">
        <v>1922.76</v>
      </c>
      <c r="N13" s="8" t="n">
        <v>1.4444</v>
      </c>
      <c r="O13" s="8" t="n">
        <v>2777.32</v>
      </c>
      <c r="P13" s="8" t="n">
        <v>2777.32</v>
      </c>
      <c r="Q13" s="8" t="n">
        <v>1922.76</v>
      </c>
      <c r="R13" s="6" t="inlineStr">
        <is>
          <t>24 liens × 1,2 h (réf. Vaires 1,5 h/lien RJ45 30 m, optimisé en volume)</t>
        </is>
      </c>
    </row>
    <row r="14">
      <c r="A14" s="6" t="n">
        <v>18</v>
      </c>
      <c r="B14" s="6" t="inlineStr">
        <is>
          <t>4</t>
        </is>
      </c>
      <c r="C14" s="6" t="inlineStr">
        <is>
          <t>Pose et raccordement borne WiFi</t>
        </is>
      </c>
      <c r="D14" s="6" t="inlineStr">
        <is>
          <t>U</t>
        </is>
      </c>
      <c r="E14" s="6" t="n">
        <v>4</v>
      </c>
      <c r="F14" s="8" t="n">
        <v>0</v>
      </c>
      <c r="G14" s="8" t="n">
        <v>0</v>
      </c>
      <c r="H14" s="8" t="n">
        <v>0.75</v>
      </c>
      <c r="I14" s="8" t="n">
        <v>0.25</v>
      </c>
      <c r="J14" s="8" t="n">
        <v>0</v>
      </c>
      <c r="K14" s="8" t="n">
        <v>0</v>
      </c>
      <c r="L14" s="8" t="n">
        <v>45</v>
      </c>
      <c r="M14" s="8" t="n">
        <v>45</v>
      </c>
      <c r="N14" s="8" t="n">
        <v>1.4444</v>
      </c>
      <c r="O14" s="8" t="n">
        <v>65</v>
      </c>
      <c r="P14" s="8" t="n">
        <v>260</v>
      </c>
      <c r="Q14" s="8" t="n">
        <v>180</v>
      </c>
      <c r="R14" s="6" t="inlineStr">
        <is>
          <t>4 bornes × (0,75 h monteur + 0,25 h tech) (réf. Vaires 1 h + 0,5 h, optimisé)</t>
        </is>
      </c>
    </row>
    <row r="15">
      <c r="A15" s="6" t="n">
        <v>19</v>
      </c>
      <c r="B15" s="6" t="inlineStr">
        <is>
          <t>4</t>
        </is>
      </c>
      <c r="C15" s="6" t="inlineStr">
        <is>
          <t>Fourniture, pose et raccordement équipements audiovisuel salle de réunion (Un écran 85" par salle de réunion, avec enceinte caméra combinée + kit 5x micros déportés connectés)</t>
        </is>
      </c>
      <c r="D15" s="6" t="inlineStr">
        <is>
          <t>U</t>
        </is>
      </c>
      <c r="E15" s="6" t="n">
        <v>3</v>
      </c>
      <c r="F15" s="8" t="n">
        <v>8102.65</v>
      </c>
      <c r="G15" s="8" t="n">
        <v>756</v>
      </c>
      <c r="H15" s="8" t="n">
        <v>3</v>
      </c>
      <c r="I15" s="8" t="n">
        <v>3</v>
      </c>
      <c r="J15" s="8" t="n">
        <v>0</v>
      </c>
      <c r="K15" s="8" t="n">
        <v>0</v>
      </c>
      <c r="L15" s="8" t="n">
        <v>300</v>
      </c>
      <c r="M15" s="8" t="n">
        <v>9158.65</v>
      </c>
      <c r="N15" s="8" t="n">
        <v>1.4444</v>
      </c>
      <c r="O15" s="8" t="n">
        <v>13229.16</v>
      </c>
      <c r="P15" s="8" t="n">
        <v>39687.48</v>
      </c>
      <c r="Q15" s="8" t="n">
        <v>27475.95</v>
      </c>
      <c r="R15" s="6" t="inlineStr">
        <is>
          <t>Fourniture ajoutée : 3 Rally Mic Pod supplémentaires × 252 € (estimatif, à recoter Sonepar : 4 Mic Pod/salle). MO : montage chariot + écran 86" à 2 (3 h), câblage barre/micros/lecteur/switch (2 h), essais Teams/USB (1 h)</t>
        </is>
      </c>
    </row>
    <row r="16">
      <c r="A16" s="6" t="n">
        <v>20</v>
      </c>
      <c r="B16" s="6" t="inlineStr">
        <is>
          <t>4</t>
        </is>
      </c>
      <c r="C16" s="6" t="inlineStr">
        <is>
          <t>Recettage cuivre</t>
        </is>
      </c>
      <c r="D16" s="6" t="inlineStr">
        <is>
          <t>Ens</t>
        </is>
      </c>
      <c r="E16" s="6" t="n">
        <v>1</v>
      </c>
      <c r="F16" s="8" t="n">
        <v>0</v>
      </c>
      <c r="G16" s="8" t="n">
        <v>0</v>
      </c>
      <c r="H16" s="8" t="n">
        <v>0</v>
      </c>
      <c r="I16" s="8" t="n">
        <v>3.4</v>
      </c>
      <c r="J16" s="8" t="n">
        <v>0</v>
      </c>
      <c r="K16" s="8" t="n">
        <v>0</v>
      </c>
      <c r="L16" s="8" t="n">
        <v>204</v>
      </c>
      <c r="M16" s="8" t="n">
        <v>204</v>
      </c>
      <c r="N16" s="8" t="n">
        <v>1.4444</v>
      </c>
      <c r="O16" s="8" t="n">
        <v>294.67</v>
      </c>
      <c r="P16" s="8" t="n">
        <v>294.67</v>
      </c>
      <c r="Q16" s="8" t="n">
        <v>204</v>
      </c>
      <c r="R16" s="6" t="inlineStr">
        <is>
          <t>Certification classe EA : 24 liens × 0,1 h + rapport 1 h (certificateur PROSYB supposé disponible)</t>
        </is>
      </c>
    </row>
    <row r="17">
      <c r="A17" s="6" t="n">
        <v>25</v>
      </c>
      <c r="B17" s="6" t="inlineStr">
        <is>
          <t>4</t>
        </is>
      </c>
      <c r="C17" s="6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D17" s="6" t="inlineStr">
        <is>
          <t>Ens</t>
        </is>
      </c>
      <c r="E17" s="6" t="n">
        <v>1</v>
      </c>
      <c r="F17" s="8" t="n">
        <v>3083.05</v>
      </c>
      <c r="G17" s="8" t="n">
        <v>0</v>
      </c>
      <c r="H17" s="8" t="n">
        <v>115.2</v>
      </c>
      <c r="I17" s="8" t="n">
        <v>0</v>
      </c>
      <c r="J17" s="8" t="n">
        <v>0</v>
      </c>
      <c r="K17" s="8" t="n">
        <v>0</v>
      </c>
      <c r="L17" s="8" t="n">
        <v>4608</v>
      </c>
      <c r="M17" s="8" t="n">
        <v>7691.05</v>
      </c>
      <c r="N17" s="8" t="n">
        <v>1.4444</v>
      </c>
      <c r="O17" s="8" t="n">
        <v>11109.29</v>
      </c>
      <c r="P17" s="8" t="n">
        <v>11109.29</v>
      </c>
      <c r="Q17" s="8" t="n">
        <v>7691.05</v>
      </c>
      <c r="R17" s="6" t="inlineStr">
        <is>
          <t>96 liens × 1,2 h</t>
        </is>
      </c>
    </row>
    <row r="18">
      <c r="A18" s="6" t="n">
        <v>26</v>
      </c>
      <c r="B18" s="6" t="inlineStr">
        <is>
          <t>4</t>
        </is>
      </c>
      <c r="C18" s="6" t="inlineStr">
        <is>
          <t>Fourniture, pose et raccordement borne WiFi</t>
        </is>
      </c>
      <c r="D18" s="6" t="inlineStr">
        <is>
          <t>U</t>
        </is>
      </c>
      <c r="E18" s="6" t="n">
        <v>20</v>
      </c>
      <c r="F18" s="8" t="n">
        <v>0</v>
      </c>
      <c r="G18" s="8" t="n">
        <v>160</v>
      </c>
      <c r="H18" s="8" t="n">
        <v>0.75</v>
      </c>
      <c r="I18" s="8" t="n">
        <v>0.25</v>
      </c>
      <c r="J18" s="8" t="n">
        <v>0</v>
      </c>
      <c r="K18" s="8" t="n">
        <v>0</v>
      </c>
      <c r="L18" s="8" t="n">
        <v>45</v>
      </c>
      <c r="M18" s="8" t="n">
        <v>205</v>
      </c>
      <c r="N18" s="8" t="n">
        <v>1.4444</v>
      </c>
      <c r="O18" s="8" t="n">
        <v>296.11</v>
      </c>
      <c r="P18" s="8" t="n">
        <v>5922.2</v>
      </c>
      <c r="Q18" s="8" t="n">
        <v>4100</v>
      </c>
      <c r="R18" s="6" t="inlineStr">
        <is>
          <t>Fourniture borne Wi-Fi 6 PoE type Ubiquiti U6 Pro 160 € (estimatif, prix budgétaire de repli) ; pose 0,75 h + 0,25 h</t>
        </is>
      </c>
    </row>
    <row r="19">
      <c r="A19" s="6" t="n">
        <v>27</v>
      </c>
      <c r="B19" s="6" t="inlineStr">
        <is>
          <t>4</t>
        </is>
      </c>
      <c r="C19" s="6" t="inlineStr">
        <is>
          <t>Fourniture, pose et raccordement équipements audiovisuel salle de réunion (Un écran 85" par salle de réunion, avec enceinte caméra combinée + kit 5x micros déportés connectés)</t>
        </is>
      </c>
      <c r="D19" s="6" t="inlineStr">
        <is>
          <t>U</t>
        </is>
      </c>
      <c r="E19" s="6" t="n">
        <v>7</v>
      </c>
      <c r="F19" s="8" t="n">
        <v>8102.65</v>
      </c>
      <c r="G19" s="8" t="n">
        <v>756</v>
      </c>
      <c r="H19" s="8" t="n">
        <v>3</v>
      </c>
      <c r="I19" s="8" t="n">
        <v>3</v>
      </c>
      <c r="J19" s="8" t="n">
        <v>0</v>
      </c>
      <c r="K19" s="8" t="n">
        <v>0</v>
      </c>
      <c r="L19" s="8" t="n">
        <v>300</v>
      </c>
      <c r="M19" s="8" t="n">
        <v>9158.65</v>
      </c>
      <c r="N19" s="8" t="n">
        <v>1.4444</v>
      </c>
      <c r="O19" s="8" t="n">
        <v>13229.16</v>
      </c>
      <c r="P19" s="8" t="n">
        <v>92604.12</v>
      </c>
      <c r="Q19" s="8" t="n">
        <v>64110.55</v>
      </c>
      <c r="R19" s="6" t="inlineStr">
        <is>
          <t>Idem P2</t>
        </is>
      </c>
    </row>
    <row r="20">
      <c r="A20" s="6" t="n">
        <v>28</v>
      </c>
      <c r="B20" s="6" t="inlineStr">
        <is>
          <t>4</t>
        </is>
      </c>
      <c r="C20" s="6" t="inlineStr">
        <is>
          <t>Recettage cuivre</t>
        </is>
      </c>
      <c r="D20" s="6" t="inlineStr">
        <is>
          <t>Ens</t>
        </is>
      </c>
      <c r="E20" s="6" t="n">
        <v>1</v>
      </c>
      <c r="F20" s="8" t="n">
        <v>0</v>
      </c>
      <c r="G20" s="8" t="n">
        <v>0</v>
      </c>
      <c r="H20" s="8" t="n">
        <v>0</v>
      </c>
      <c r="I20" s="8" t="n">
        <v>10.6</v>
      </c>
      <c r="J20" s="8" t="n">
        <v>0</v>
      </c>
      <c r="K20" s="8" t="n">
        <v>0</v>
      </c>
      <c r="L20" s="8" t="n">
        <v>636</v>
      </c>
      <c r="M20" s="8" t="n">
        <v>636</v>
      </c>
      <c r="N20" s="8" t="n">
        <v>1.4444</v>
      </c>
      <c r="O20" s="8" t="n">
        <v>918.67</v>
      </c>
      <c r="P20" s="8" t="n">
        <v>918.67</v>
      </c>
      <c r="Q20" s="8" t="n">
        <v>636</v>
      </c>
      <c r="R20" s="6" t="inlineStr">
        <is>
          <t>Certification 96 liens × 0,1 h + rapport 1 h</t>
        </is>
      </c>
    </row>
    <row r="21">
      <c r="A21" s="6" t="n">
        <v>30</v>
      </c>
      <c r="B21" s="6" t="inlineStr">
        <is>
          <t>4</t>
        </is>
      </c>
      <c r="C21" s="6" t="inlineStr">
        <is>
          <t>Fourniture, pose et raccordement répartiteur secondaire bâtiments annexes</t>
        </is>
      </c>
      <c r="D21" s="6" t="inlineStr">
        <is>
          <t>U</t>
        </is>
      </c>
      <c r="E21" s="6" t="n">
        <v>2</v>
      </c>
      <c r="F21" s="8" t="n">
        <v>753.92</v>
      </c>
      <c r="G21" s="8" t="n">
        <v>0</v>
      </c>
      <c r="H21" s="8" t="n">
        <v>3.75</v>
      </c>
      <c r="I21" s="8" t="n">
        <v>2</v>
      </c>
      <c r="J21" s="8" t="n">
        <v>0</v>
      </c>
      <c r="K21" s="8" t="n">
        <v>0</v>
      </c>
      <c r="L21" s="8" t="n">
        <v>270</v>
      </c>
      <c r="M21" s="8" t="n">
        <v>1023.92</v>
      </c>
      <c r="N21" s="8" t="n">
        <v>1.4444</v>
      </c>
      <c r="O21" s="8" t="n">
        <v>1479</v>
      </c>
      <c r="P21" s="8" t="n">
        <v>2958</v>
      </c>
      <c r="Q21" s="8" t="n">
        <v>2047.84</v>
      </c>
      <c r="R21" s="6" t="inlineStr">
        <is>
          <t>Par annexe : tirage fibre 150 ml (3,75 h) + intégration dans coffret SPIE (2 h)</t>
        </is>
      </c>
    </row>
    <row r="22">
      <c r="A22" s="6" t="n">
        <v>31</v>
      </c>
      <c r="B22" s="6" t="inlineStr">
        <is>
          <t>4</t>
        </is>
      </c>
      <c r="C22" s="6" t="inlineStr">
        <is>
          <t>Fourniture, pose et raccordement liaisons RJ45 CAT6A F/STP bâtiments techniques &amp; extérieurs</t>
        </is>
      </c>
      <c r="D22" s="6" t="inlineStr">
        <is>
          <t>U</t>
        </is>
      </c>
      <c r="E22" s="6" t="n">
        <v>30</v>
      </c>
      <c r="F22" s="8" t="n">
        <v>48.71</v>
      </c>
      <c r="G22" s="8" t="n">
        <v>0</v>
      </c>
      <c r="H22" s="8" t="n">
        <v>2.5</v>
      </c>
      <c r="I22" s="8" t="n">
        <v>0</v>
      </c>
      <c r="J22" s="8" t="n">
        <v>0</v>
      </c>
      <c r="K22" s="8" t="n">
        <v>0</v>
      </c>
      <c r="L22" s="8" t="n">
        <v>100</v>
      </c>
      <c r="M22" s="8" t="n">
        <v>148.71</v>
      </c>
      <c r="N22" s="8" t="n">
        <v>1.4444</v>
      </c>
      <c r="O22" s="8" t="n">
        <v>214.8</v>
      </c>
      <c r="P22" s="8" t="n">
        <v>6444</v>
      </c>
      <c r="Q22" s="8" t="n">
        <v>4461.3</v>
      </c>
      <c r="R22" s="6" t="inlineStr">
        <is>
          <t>Par liaison extérieure ≈ 60 m sous fourreau : 2,5 h (réf. ECLAIRION 2,5 h + 0,5 h pour ≤ 30 m, optimisé) ; test en ligne 32</t>
        </is>
      </c>
    </row>
    <row r="23">
      <c r="A23" s="6" t="n">
        <v>32</v>
      </c>
      <c r="B23" s="6" t="inlineStr">
        <is>
          <t>4</t>
        </is>
      </c>
      <c r="C23" s="6" t="inlineStr">
        <is>
          <t>Recettage cuivre</t>
        </is>
      </c>
      <c r="D23" s="6" t="inlineStr">
        <is>
          <t>Ens</t>
        </is>
      </c>
      <c r="E23" s="6" t="n">
        <v>1</v>
      </c>
      <c r="F23" s="8" t="n">
        <v>0</v>
      </c>
      <c r="G23" s="8" t="n">
        <v>0</v>
      </c>
      <c r="H23" s="8" t="n">
        <v>0</v>
      </c>
      <c r="I23" s="8" t="n">
        <v>4.5</v>
      </c>
      <c r="J23" s="8" t="n">
        <v>0</v>
      </c>
      <c r="K23" s="8" t="n">
        <v>0</v>
      </c>
      <c r="L23" s="8" t="n">
        <v>270</v>
      </c>
      <c r="M23" s="8" t="n">
        <v>270</v>
      </c>
      <c r="N23" s="8" t="n">
        <v>1.4444</v>
      </c>
      <c r="O23" s="8" t="n">
        <v>390</v>
      </c>
      <c r="P23" s="8" t="n">
        <v>390</v>
      </c>
      <c r="Q23" s="8" t="n">
        <v>270</v>
      </c>
      <c r="R23" s="6" t="inlineStr">
        <is>
          <t>Certification 30 liaisons × 0,15 h</t>
        </is>
      </c>
    </row>
    <row r="24">
      <c r="A24" s="6" t="n">
        <v>34</v>
      </c>
      <c r="B24" s="6" t="inlineStr">
        <is>
          <t>4</t>
        </is>
      </c>
      <c r="C24" s="6" t="inlineStr">
        <is>
          <t>Fourniture, pose et raccordement afficheurs chantier extérieur + Support</t>
        </is>
      </c>
      <c r="D24" s="6" t="inlineStr">
        <is>
          <t>U</t>
        </is>
      </c>
      <c r="E24" s="6" t="n">
        <v>6</v>
      </c>
      <c r="F24" s="8" t="n">
        <v>4852.81</v>
      </c>
      <c r="G24" s="8" t="n">
        <v>775</v>
      </c>
      <c r="H24" s="8" t="n">
        <v>6</v>
      </c>
      <c r="I24" s="8" t="n">
        <v>1.5</v>
      </c>
      <c r="J24" s="8" t="n">
        <v>0</v>
      </c>
      <c r="K24" s="8" t="n">
        <v>0</v>
      </c>
      <c r="L24" s="8" t="n">
        <v>330</v>
      </c>
      <c r="M24" s="8" t="n">
        <v>5957.81</v>
      </c>
      <c r="N24" s="8" t="n">
        <v>1.4444</v>
      </c>
      <c r="O24" s="8" t="n">
        <v>8605.73</v>
      </c>
      <c r="P24" s="8" t="n">
        <v>51634.38</v>
      </c>
      <c r="Q24" s="8" t="n">
        <v>35746.86</v>
      </c>
      <c r="R24" s="6" t="inlineStr">
        <is>
          <t>Fourniture ajoutée : supports (3 bras muraux antivol 250 € + 3 totems ERARD ≈ 1 300 €) moyenne 775 €/u (estimatif, prix Sonepar attendu). MO : mural 4 h / totem 8 h à 2 (moy. 6 h) + raccordement et mise en service 1,5 h (réf. estimation afficheurs 10/10, optimisée)</t>
        </is>
      </c>
    </row>
    <row r="25">
      <c r="A25" s="6" t="n">
        <v>35</v>
      </c>
      <c r="B25" s="6" t="inlineStr">
        <is>
          <t>4</t>
        </is>
      </c>
      <c r="C25" s="6" t="inlineStr">
        <is>
          <t>Paramétrage</t>
        </is>
      </c>
      <c r="D25" s="6" t="inlineStr">
        <is>
          <t>Ens</t>
        </is>
      </c>
      <c r="E25" s="6" t="n">
        <v>1</v>
      </c>
      <c r="F25" s="8" t="n">
        <v>0</v>
      </c>
      <c r="G25" s="8" t="n">
        <v>1100</v>
      </c>
      <c r="H25" s="8" t="n">
        <v>0</v>
      </c>
      <c r="I25" s="8" t="n">
        <v>16</v>
      </c>
      <c r="J25" s="8" t="n">
        <v>0</v>
      </c>
      <c r="K25" s="8" t="n">
        <v>12</v>
      </c>
      <c r="L25" s="8" t="n">
        <v>1860</v>
      </c>
      <c r="M25" s="8" t="n">
        <v>2960</v>
      </c>
      <c r="N25" s="8" t="n">
        <v>1.4444</v>
      </c>
      <c r="O25" s="8" t="n">
        <v>4275.56</v>
      </c>
      <c r="P25" s="8" t="n">
        <v>4275.56</v>
      </c>
      <c r="Q25" s="8" t="n">
        <v>2960</v>
      </c>
      <c r="R25" s="6" t="inlineStr">
        <is>
          <t>Serveur de diffusion Navori QL sur site 1 100 € (estimatif). Paramétrage serveur, 16 lecteurs, groupes, alerte prioritaire, programmation (16 h) ; BE : charte + 10 modèles de contenus FR/EN, formation EXYTE ½ j, DOE (12 h)</t>
        </is>
      </c>
    </row>
    <row r="26">
      <c r="A26" s="6" t="n">
        <v>38</v>
      </c>
      <c r="B26" s="6" t="inlineStr">
        <is>
          <t>4</t>
        </is>
      </c>
      <c r="C26" s="6" t="inlineStr">
        <is>
          <t>Fourniture, pose et raccordement répartiteur informatique principal dans poste énergie Hub 3 — switch fourni par EXYTE, pose et paramétrage PROSYB</t>
        </is>
      </c>
      <c r="D26" s="6" t="inlineStr">
        <is>
          <t>Ens</t>
        </is>
      </c>
      <c r="E26" s="6" t="n">
        <v>1</v>
      </c>
      <c r="F26" s="8" t="n">
        <v>634.85</v>
      </c>
      <c r="G26" s="8" t="n">
        <v>0</v>
      </c>
      <c r="H26" s="8" t="n">
        <v>0</v>
      </c>
      <c r="I26" s="8" t="n">
        <v>5</v>
      </c>
      <c r="J26" s="8" t="n">
        <v>0</v>
      </c>
      <c r="K26" s="8" t="n">
        <v>0</v>
      </c>
      <c r="L26" s="8" t="n">
        <v>300</v>
      </c>
      <c r="M26" s="8" t="n">
        <v>934.85</v>
      </c>
      <c r="N26" s="8" t="n">
        <v>1.4444</v>
      </c>
      <c r="O26" s="8" t="n">
        <v>1350.34</v>
      </c>
      <c r="P26" s="8" t="n">
        <v>1350.34</v>
      </c>
      <c r="Q26" s="8" t="n">
        <v>934.85</v>
      </c>
      <c r="R26" s="6" t="inlineStr">
        <is>
          <t>Pose baie 42U + switch EXYTE</t>
        </is>
      </c>
    </row>
    <row r="27">
      <c r="A27" s="6" t="n">
        <v>39</v>
      </c>
      <c r="B27" s="6" t="inlineStr">
        <is>
          <t>4</t>
        </is>
      </c>
      <c r="C27" s="6" t="inlineStr">
        <is>
          <t>Fourniture, pose et raccordement fibre OS2 12 brins depuis répartiteur principal poste énergie Hub 1 vers répartiteur principal poste énergie Hub 3</t>
        </is>
      </c>
      <c r="D27" s="6" t="inlineStr">
        <is>
          <t>Ens</t>
        </is>
      </c>
      <c r="E27" s="6" t="n">
        <v>1</v>
      </c>
      <c r="F27" s="8" t="n">
        <v>753.92</v>
      </c>
      <c r="G27" s="8" t="n">
        <v>0</v>
      </c>
      <c r="H27" s="8" t="n">
        <v>3.75</v>
      </c>
      <c r="I27" s="8" t="n">
        <v>0</v>
      </c>
      <c r="J27" s="8" t="n">
        <v>0</v>
      </c>
      <c r="K27" s="8" t="n">
        <v>0</v>
      </c>
      <c r="L27" s="8" t="n">
        <v>150</v>
      </c>
      <c r="M27" s="8" t="n">
        <v>903.92</v>
      </c>
      <c r="N27" s="8" t="n">
        <v>1.4444</v>
      </c>
      <c r="O27" s="8" t="n">
        <v>1305.66</v>
      </c>
      <c r="P27" s="8" t="n">
        <v>1305.66</v>
      </c>
      <c r="Q27" s="8" t="n">
        <v>903.92</v>
      </c>
      <c r="R27" s="6" t="inlineStr">
        <is>
          <t>Tirage 150 ml</t>
        </is>
      </c>
    </row>
    <row r="28">
      <c r="A28" s="6" t="n">
        <v>40</v>
      </c>
      <c r="B28" s="6" t="inlineStr">
        <is>
          <t>4</t>
        </is>
      </c>
      <c r="C28" s="6" t="inlineStr">
        <is>
          <t>Fourniture, pose et raccordement fibre OS2 12 brins depuis répartiteur principal poste énergie Hub 3 vers répartiteurs secondaires A (Ilots 1 à 10)</t>
        </is>
      </c>
      <c r="D28" s="6" t="inlineStr">
        <is>
          <t>Ens</t>
        </is>
      </c>
      <c r="E28" s="6" t="n">
        <v>1</v>
      </c>
      <c r="F28" s="8" t="n">
        <v>818.2</v>
      </c>
      <c r="G28" s="8" t="n">
        <v>0</v>
      </c>
      <c r="H28" s="8" t="n">
        <v>5</v>
      </c>
      <c r="I28" s="8" t="n">
        <v>0</v>
      </c>
      <c r="J28" s="8" t="n">
        <v>0</v>
      </c>
      <c r="K28" s="8" t="n">
        <v>0</v>
      </c>
      <c r="L28" s="8" t="n">
        <v>200</v>
      </c>
      <c r="M28" s="8" t="n">
        <v>1018.2</v>
      </c>
      <c r="N28" s="8" t="n">
        <v>1.4444</v>
      </c>
      <c r="O28" s="8" t="n">
        <v>1470.73</v>
      </c>
      <c r="P28" s="8" t="n">
        <v>1470.73</v>
      </c>
      <c r="Q28" s="8" t="n">
        <v>1018.2</v>
      </c>
      <c r="R28" s="6" t="inlineStr">
        <is>
          <t>Tirage 200 ml</t>
        </is>
      </c>
    </row>
    <row r="29">
      <c r="A29" s="6" t="n">
        <v>41</v>
      </c>
      <c r="B29" s="6" t="inlineStr">
        <is>
          <t>4</t>
        </is>
      </c>
      <c r="C29" s="6" t="inlineStr">
        <is>
          <t>Fourniture, pose et raccordement fibre OS2 12 brins depuis répartiteur principal poste énergie Hub 3 vers répartiteurs secondaires B (Ilots 11 à 20)</t>
        </is>
      </c>
      <c r="D29" s="6" t="inlineStr">
        <is>
          <t>Ens</t>
        </is>
      </c>
      <c r="E29" s="6" t="n">
        <v>1</v>
      </c>
      <c r="F29" s="8" t="n">
        <v>818.2</v>
      </c>
      <c r="G29" s="8" t="n">
        <v>0</v>
      </c>
      <c r="H29" s="8" t="n">
        <v>5</v>
      </c>
      <c r="I29" s="8" t="n">
        <v>0</v>
      </c>
      <c r="J29" s="8" t="n">
        <v>0</v>
      </c>
      <c r="K29" s="8" t="n">
        <v>0</v>
      </c>
      <c r="L29" s="8" t="n">
        <v>200</v>
      </c>
      <c r="M29" s="8" t="n">
        <v>1018.2</v>
      </c>
      <c r="N29" s="8" t="n">
        <v>1.4444</v>
      </c>
      <c r="O29" s="8" t="n">
        <v>1470.73</v>
      </c>
      <c r="P29" s="8" t="n">
        <v>1470.73</v>
      </c>
      <c r="Q29" s="8" t="n">
        <v>1018.2</v>
      </c>
      <c r="R29" s="6" t="inlineStr">
        <is>
          <t>Tirage 200 ml</t>
        </is>
      </c>
    </row>
    <row r="30">
      <c r="A30" s="6" t="n">
        <v>42</v>
      </c>
      <c r="B30" s="6" t="inlineStr">
        <is>
          <t>4</t>
        </is>
      </c>
      <c r="C30" s="6" t="inlineStr">
        <is>
          <t>Paramétrage équipements informatiques</t>
        </is>
      </c>
      <c r="D30" s="6" t="inlineStr">
        <is>
          <t>Ens</t>
        </is>
      </c>
      <c r="E30" s="6" t="n">
        <v>1</v>
      </c>
      <c r="F30" s="8" t="n">
        <v>0</v>
      </c>
      <c r="G30" s="8" t="n">
        <v>0</v>
      </c>
      <c r="H30" s="8" t="n">
        <v>0</v>
      </c>
      <c r="I30" s="8" t="n">
        <v>16</v>
      </c>
      <c r="J30" s="8" t="n">
        <v>0</v>
      </c>
      <c r="K30" s="8" t="n">
        <v>8</v>
      </c>
      <c r="L30" s="8" t="n">
        <v>1560</v>
      </c>
      <c r="M30" s="8" t="n">
        <v>1560</v>
      </c>
      <c r="N30" s="8" t="n">
        <v>1.4444</v>
      </c>
      <c r="O30" s="8" t="n">
        <v>2253.33</v>
      </c>
      <c r="P30" s="8" t="n">
        <v>2253.33</v>
      </c>
      <c r="Q30" s="8" t="n">
        <v>1560</v>
      </c>
      <c r="R30" s="6" t="inlineStr">
        <is>
          <t>Paramétrage P4 : cœur Hub 3 (3 h) + piles d'accès A/B (≈ 8 switchs × 1,5 h) + bascule ; BE : mise à jour adressage, synoptiques, DOE</t>
        </is>
      </c>
    </row>
    <row r="31">
      <c r="A31" s="6" t="n">
        <v>43</v>
      </c>
      <c r="B31" s="6" t="inlineStr">
        <is>
          <t>4</t>
        </is>
      </c>
      <c r="C31" s="6" t="inlineStr">
        <is>
          <t>Test de réfléctométrie</t>
        </is>
      </c>
      <c r="D31" s="6" t="inlineStr">
        <is>
          <t>Ens</t>
        </is>
      </c>
      <c r="E31" s="6" t="n">
        <v>1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1.4444</v>
      </c>
      <c r="O31" s="8" t="n">
        <v>0</v>
      </c>
      <c r="P31" s="8" t="n">
        <v>0</v>
      </c>
      <c r="Q31" s="8" t="n">
        <v>0</v>
      </c>
      <c r="R31" s="6" t="inlineStr">
        <is>
          <t>Tests fibre P4 par Octet Plus</t>
        </is>
      </c>
    </row>
    <row r="32">
      <c r="A32" s="6" t="n">
        <v>45</v>
      </c>
      <c r="B32" s="6" t="inlineStr">
        <is>
          <t>4</t>
        </is>
      </c>
      <c r="C32" s="6" t="inlineStr">
        <is>
          <t>Fourniture, pose et raccordement répartiteur informatique secondaires base vie phase 4 — switch fourni par EXYTE, pose et paramétrage PROSYB</t>
        </is>
      </c>
      <c r="D32" s="6" t="inlineStr">
        <is>
          <t>U</t>
        </is>
      </c>
      <c r="E32" s="6" t="n">
        <v>2</v>
      </c>
      <c r="F32" s="8" t="n">
        <v>634.85</v>
      </c>
      <c r="G32" s="8" t="n">
        <v>0</v>
      </c>
      <c r="H32" s="8" t="n">
        <v>0</v>
      </c>
      <c r="I32" s="8" t="n">
        <v>5</v>
      </c>
      <c r="J32" s="8" t="n">
        <v>0</v>
      </c>
      <c r="K32" s="8" t="n">
        <v>0</v>
      </c>
      <c r="L32" s="8" t="n">
        <v>300</v>
      </c>
      <c r="M32" s="8" t="n">
        <v>934.85</v>
      </c>
      <c r="N32" s="8" t="n">
        <v>1.4444</v>
      </c>
      <c r="O32" s="8" t="n">
        <v>1350.34</v>
      </c>
      <c r="P32" s="8" t="n">
        <v>2700.68</v>
      </c>
      <c r="Q32" s="8" t="n">
        <v>1869.7</v>
      </c>
      <c r="R32" s="6" t="inlineStr">
        <is>
          <t>Par répartiteur : pose baie 42U + équipement + switchs EXYTE</t>
        </is>
      </c>
    </row>
    <row r="33">
      <c r="A33" s="6" t="n">
        <v>46</v>
      </c>
      <c r="B33" s="6" t="inlineStr">
        <is>
          <t>4</t>
        </is>
      </c>
      <c r="C33" s="6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D33" s="6" t="inlineStr">
        <is>
          <t>Ens</t>
        </is>
      </c>
      <c r="E33" s="6" t="n">
        <v>1</v>
      </c>
      <c r="F33" s="8" t="n">
        <v>11561.43</v>
      </c>
      <c r="G33" s="8" t="n">
        <v>0</v>
      </c>
      <c r="H33" s="8" t="n">
        <v>432</v>
      </c>
      <c r="I33" s="8" t="n">
        <v>0</v>
      </c>
      <c r="J33" s="8" t="n">
        <v>0</v>
      </c>
      <c r="K33" s="8" t="n">
        <v>0</v>
      </c>
      <c r="L33" s="8" t="n">
        <v>17280</v>
      </c>
      <c r="M33" s="8" t="n">
        <v>28841.43</v>
      </c>
      <c r="N33" s="8" t="n">
        <v>1.4444</v>
      </c>
      <c r="O33" s="8" t="n">
        <v>41659.84</v>
      </c>
      <c r="P33" s="8" t="n">
        <v>41659.84</v>
      </c>
      <c r="Q33" s="8" t="n">
        <v>28841.43</v>
      </c>
      <c r="R33" s="6" t="inlineStr">
        <is>
          <t>360 liens × 1,2 h</t>
        </is>
      </c>
    </row>
    <row r="34">
      <c r="A34" s="6" t="n">
        <v>47</v>
      </c>
      <c r="B34" s="6" t="inlineStr">
        <is>
          <t>4</t>
        </is>
      </c>
      <c r="C34" s="6" t="inlineStr">
        <is>
          <t>Pose et raccordement borne WiFi</t>
        </is>
      </c>
      <c r="D34" s="6" t="inlineStr">
        <is>
          <t>U</t>
        </is>
      </c>
      <c r="E34" s="6" t="n">
        <v>60</v>
      </c>
      <c r="F34" s="8" t="n">
        <v>0</v>
      </c>
      <c r="G34" s="8" t="n">
        <v>0</v>
      </c>
      <c r="H34" s="8" t="n">
        <v>0.75</v>
      </c>
      <c r="I34" s="8" t="n">
        <v>0.25</v>
      </c>
      <c r="J34" s="8" t="n">
        <v>0</v>
      </c>
      <c r="K34" s="8" t="n">
        <v>0</v>
      </c>
      <c r="L34" s="8" t="n">
        <v>45</v>
      </c>
      <c r="M34" s="8" t="n">
        <v>45</v>
      </c>
      <c r="N34" s="8" t="n">
        <v>1.4444</v>
      </c>
      <c r="O34" s="8" t="n">
        <v>65</v>
      </c>
      <c r="P34" s="8" t="n">
        <v>3900</v>
      </c>
      <c r="Q34" s="8" t="n">
        <v>2700</v>
      </c>
      <c r="R34" s="6" t="inlineStr">
        <is>
          <t>60 bornes × (0,75 h + 0,25 h)</t>
        </is>
      </c>
    </row>
    <row r="35">
      <c r="A35" s="6" t="n">
        <v>48</v>
      </c>
      <c r="B35" s="6" t="inlineStr">
        <is>
          <t>4</t>
        </is>
      </c>
      <c r="C35" s="6" t="inlineStr">
        <is>
          <t>Recettage cuivre</t>
        </is>
      </c>
      <c r="D35" s="6" t="inlineStr">
        <is>
          <t>Ens</t>
        </is>
      </c>
      <c r="E35" s="6" t="n">
        <v>1</v>
      </c>
      <c r="F35" s="8" t="n">
        <v>0</v>
      </c>
      <c r="G35" s="8" t="n">
        <v>0</v>
      </c>
      <c r="H35" s="8" t="n">
        <v>0</v>
      </c>
      <c r="I35" s="8" t="n">
        <v>38</v>
      </c>
      <c r="J35" s="8" t="n">
        <v>0</v>
      </c>
      <c r="K35" s="8" t="n">
        <v>0</v>
      </c>
      <c r="L35" s="8" t="n">
        <v>2280</v>
      </c>
      <c r="M35" s="8" t="n">
        <v>2280</v>
      </c>
      <c r="N35" s="8" t="n">
        <v>1.4444</v>
      </c>
      <c r="O35" s="8" t="n">
        <v>3293.33</v>
      </c>
      <c r="P35" s="8" t="n">
        <v>3293.33</v>
      </c>
      <c r="Q35" s="8" t="n">
        <v>2280</v>
      </c>
      <c r="R35" s="6" t="inlineStr">
        <is>
          <t>Certification 360 liens × 0,1 h + rapports 2 h</t>
        </is>
      </c>
    </row>
    <row r="36">
      <c r="A36" s="6" t="n">
        <v>52</v>
      </c>
      <c r="B36" s="6" t="inlineStr">
        <is>
          <t>5</t>
        </is>
      </c>
      <c r="C36" s="6" t="inlineStr">
        <is>
          <t>Fourniture, pose et raccordement coffret report de contact SSI poste de garde principal</t>
        </is>
      </c>
      <c r="D36" s="6" t="inlineStr">
        <is>
          <t>Ens</t>
        </is>
      </c>
      <c r="E36" s="6" t="n">
        <v>1</v>
      </c>
      <c r="F36" s="8" t="n">
        <v>0</v>
      </c>
      <c r="G36" s="8" t="n">
        <v>1900</v>
      </c>
      <c r="H36" s="8" t="n">
        <v>0</v>
      </c>
      <c r="I36" s="8" t="n">
        <v>0</v>
      </c>
      <c r="J36" s="8" t="n">
        <v>4</v>
      </c>
      <c r="K36" s="8" t="n">
        <v>0</v>
      </c>
      <c r="L36" s="8" t="n">
        <v>248</v>
      </c>
      <c r="M36" s="8" t="n">
        <v>2148</v>
      </c>
      <c r="N36" s="8" t="n">
        <v>1.3506</v>
      </c>
      <c r="O36" s="8" t="n">
        <v>2901.19</v>
      </c>
      <c r="P36" s="8" t="n">
        <v>2901.19</v>
      </c>
      <c r="Q36" s="8" t="n">
        <v>2148</v>
      </c>
      <c r="R36" s="6" t="inlineStr">
        <is>
          <t>Coffret de reports ≈ 30 contacts type SREI CA32 1 900 € (estimatif, prix budgétaire de repli) ; pose et câblage interne 4 h</t>
        </is>
      </c>
    </row>
    <row r="37">
      <c r="A37" s="6" t="n">
        <v>53</v>
      </c>
      <c r="B37" s="6" t="inlineStr">
        <is>
          <t>5</t>
        </is>
      </c>
      <c r="C37" s="6" t="inlineStr">
        <is>
          <t>Fourniture, pose et raccordement liaisons coffret report de contact SSI vers alarmes BAAS SSI îlots 1 et 2, poste de garde, poste énergie Hub 1</t>
        </is>
      </c>
      <c r="D37" s="6" t="inlineStr">
        <is>
          <t>Ens</t>
        </is>
      </c>
      <c r="E37" s="6" t="n">
        <v>1</v>
      </c>
      <c r="F37" s="8" t="n">
        <v>0</v>
      </c>
      <c r="G37" s="8" t="n">
        <v>3948</v>
      </c>
      <c r="H37" s="8" t="n">
        <v>32.4</v>
      </c>
      <c r="I37" s="8" t="n">
        <v>0</v>
      </c>
      <c r="J37" s="8" t="n">
        <v>5</v>
      </c>
      <c r="K37" s="8" t="n">
        <v>0</v>
      </c>
      <c r="L37" s="8" t="n">
        <v>1606</v>
      </c>
      <c r="M37" s="8" t="n">
        <v>5554</v>
      </c>
      <c r="N37" s="8" t="n">
        <v>1.3506</v>
      </c>
      <c r="O37" s="8" t="n">
        <v>7501.51</v>
      </c>
      <c r="P37" s="8" t="n">
        <v>7501.51</v>
      </c>
      <c r="Q37" s="8" t="n">
        <v>5554</v>
      </c>
      <c r="R37" s="6" t="inlineStr">
        <is>
          <t>CR1-C1 estimatif : îlots 1-2 2 × 200 m 5G1,5 (2,90 €/m) + Hub 1 220 m et Hub 2 450 m 7G1,5 (4,10 €/m) + PG 10 m ; tirage 1 080 m à 3 h/100 m + 5 raccordements</t>
        </is>
      </c>
    </row>
    <row r="38">
      <c r="A38" s="6" t="n">
        <v>54</v>
      </c>
      <c r="B38" s="6" t="inlineStr">
        <is>
          <t>5</t>
        </is>
      </c>
      <c r="C38" s="6" t="inlineStr">
        <is>
          <t>Fourniture, pose et raccordement centrale type 3 SSI poste de garde, y compris déclencheurs manuels et sirenes</t>
        </is>
      </c>
      <c r="D38" s="6" t="inlineStr">
        <is>
          <t>Ens</t>
        </is>
      </c>
      <c r="E38" s="6" t="n">
        <v>1</v>
      </c>
      <c r="F38" s="8" t="n">
        <v>327.4</v>
      </c>
      <c r="G38" s="8" t="n">
        <v>0</v>
      </c>
      <c r="H38" s="8" t="n">
        <v>0</v>
      </c>
      <c r="I38" s="8" t="n">
        <v>0</v>
      </c>
      <c r="J38" s="8" t="n">
        <v>4</v>
      </c>
      <c r="K38" s="8" t="n">
        <v>0</v>
      </c>
      <c r="L38" s="8" t="n">
        <v>248</v>
      </c>
      <c r="M38" s="8" t="n">
        <v>575.4</v>
      </c>
      <c r="N38" s="8" t="n">
        <v>1.3506</v>
      </c>
      <c r="O38" s="8" t="n">
        <v>777.16</v>
      </c>
      <c r="P38" s="8" t="n">
        <v>777.16</v>
      </c>
      <c r="Q38" s="8" t="n">
        <v>575.4</v>
      </c>
      <c r="R38" s="6" t="inlineStr">
        <is>
          <t>Pose centrale type 3 + DM + télécommande, câblage</t>
        </is>
      </c>
    </row>
    <row r="39">
      <c r="A39" s="6" t="n">
        <v>55</v>
      </c>
      <c r="B39" s="6" t="inlineStr">
        <is>
          <t>5</t>
        </is>
      </c>
      <c r="C39" s="6" t="inlineStr">
        <is>
          <t>Fourniture, pose et raccordement centrale type 3 SSI Poste Energie Hub 1, y compris déclencheurs manuels et sirenes</t>
        </is>
      </c>
      <c r="D39" s="6" t="inlineStr">
        <is>
          <t>Ens</t>
        </is>
      </c>
      <c r="E39" s="6" t="n">
        <v>1</v>
      </c>
      <c r="F39" s="8" t="n">
        <v>302.4</v>
      </c>
      <c r="G39" s="8" t="n">
        <v>0</v>
      </c>
      <c r="H39" s="8" t="n">
        <v>0</v>
      </c>
      <c r="I39" s="8" t="n">
        <v>0</v>
      </c>
      <c r="J39" s="8" t="n">
        <v>4</v>
      </c>
      <c r="K39" s="8" t="n">
        <v>0</v>
      </c>
      <c r="L39" s="8" t="n">
        <v>248</v>
      </c>
      <c r="M39" s="8" t="n">
        <v>550.4</v>
      </c>
      <c r="N39" s="8" t="n">
        <v>1.3506</v>
      </c>
      <c r="O39" s="8" t="n">
        <v>743.4</v>
      </c>
      <c r="P39" s="8" t="n">
        <v>743.4</v>
      </c>
      <c r="Q39" s="8" t="n">
        <v>550.4</v>
      </c>
      <c r="R39" s="6" t="inlineStr">
        <is>
          <t>Idem PG</t>
        </is>
      </c>
    </row>
    <row r="40">
      <c r="A40" s="6" t="n">
        <v>56</v>
      </c>
      <c r="B40" s="6" t="inlineStr">
        <is>
          <t>5</t>
        </is>
      </c>
      <c r="C40" s="6" t="inlineStr">
        <is>
          <t>Fourniture, pose et raccordement centrale type 3 SSI Poste Energie Hub 2, y compris déclencheurs manuels et sirenes</t>
        </is>
      </c>
      <c r="D40" s="6" t="inlineStr">
        <is>
          <t>Ens</t>
        </is>
      </c>
      <c r="E40" s="6" t="n">
        <v>1</v>
      </c>
      <c r="F40" s="8" t="n">
        <v>357.2</v>
      </c>
      <c r="G40" s="8" t="n">
        <v>0</v>
      </c>
      <c r="H40" s="8" t="n">
        <v>0</v>
      </c>
      <c r="I40" s="8" t="n">
        <v>0</v>
      </c>
      <c r="J40" s="8" t="n">
        <v>5</v>
      </c>
      <c r="K40" s="8" t="n">
        <v>0</v>
      </c>
      <c r="L40" s="8" t="n">
        <v>310</v>
      </c>
      <c r="M40" s="8" t="n">
        <v>667.2</v>
      </c>
      <c r="N40" s="8" t="n">
        <v>1.3506</v>
      </c>
      <c r="O40" s="8" t="n">
        <v>901.15</v>
      </c>
      <c r="P40" s="8" t="n">
        <v>901.15</v>
      </c>
      <c r="Q40" s="8" t="n">
        <v>667.2</v>
      </c>
      <c r="R40" s="6" t="inlineStr">
        <is>
          <t>Idem + 2 DM supplémentaires</t>
        </is>
      </c>
    </row>
    <row r="41">
      <c r="A41" s="6" t="n">
        <v>58</v>
      </c>
      <c r="B41" s="6" t="inlineStr">
        <is>
          <t>5</t>
        </is>
      </c>
      <c r="C41" s="6" t="inlineStr">
        <is>
          <t>Fourniture, pose et raccordement déclencheurs manuels chantier</t>
        </is>
      </c>
      <c r="D41" s="6" t="inlineStr">
        <is>
          <t>Ens</t>
        </is>
      </c>
      <c r="E41" s="6" t="n">
        <v>1</v>
      </c>
      <c r="F41" s="8" t="n">
        <v>1376</v>
      </c>
      <c r="G41" s="8" t="n">
        <v>1792</v>
      </c>
      <c r="H41" s="8" t="n">
        <v>54.4</v>
      </c>
      <c r="I41" s="8" t="n">
        <v>0</v>
      </c>
      <c r="J41" s="8" t="n">
        <v>8</v>
      </c>
      <c r="K41" s="8" t="n">
        <v>0</v>
      </c>
      <c r="L41" s="8" t="n">
        <v>2672</v>
      </c>
      <c r="M41" s="8" t="n">
        <v>5840</v>
      </c>
      <c r="N41" s="8" t="n">
        <v>1.3506</v>
      </c>
      <c r="O41" s="8" t="n">
        <v>7887.79</v>
      </c>
      <c r="P41" s="8" t="n">
        <v>7887.79</v>
      </c>
      <c r="Q41" s="8" t="n">
        <v>5840</v>
      </c>
      <c r="R41" s="6" t="inlineStr">
        <is>
          <t>16 DM chantier : CR1-C1 2×1,5 ≈ 80 m/DM à 1,40 €/m (estimatif) ; tirage 1 280 m à 3 h/100 m (38,4 h) + pose 1 h/DM ; raccordement 0,5 h/DM</t>
        </is>
      </c>
    </row>
    <row r="42">
      <c r="A42" s="6" t="n">
        <v>59</v>
      </c>
      <c r="B42" s="6" t="inlineStr">
        <is>
          <t>5</t>
        </is>
      </c>
      <c r="C42" s="6" t="inlineStr">
        <is>
          <t>Fourniture, pose et raccordement diffuseurs sonores chantier</t>
        </is>
      </c>
      <c r="D42" s="6" t="inlineStr">
        <is>
          <t>Ens</t>
        </is>
      </c>
      <c r="E42" s="6" t="n">
        <v>1</v>
      </c>
      <c r="F42" s="8" t="n">
        <v>2124</v>
      </c>
      <c r="G42" s="8" t="n">
        <v>1824</v>
      </c>
      <c r="H42" s="8" t="n">
        <v>40.8</v>
      </c>
      <c r="I42" s="8" t="n">
        <v>0</v>
      </c>
      <c r="J42" s="8" t="n">
        <v>6</v>
      </c>
      <c r="K42" s="8" t="n">
        <v>0</v>
      </c>
      <c r="L42" s="8" t="n">
        <v>2004</v>
      </c>
      <c r="M42" s="8" t="n">
        <v>5952</v>
      </c>
      <c r="N42" s="8" t="n">
        <v>1.3506</v>
      </c>
      <c r="O42" s="8" t="n">
        <v>8039.06</v>
      </c>
      <c r="P42" s="8" t="n">
        <v>8039.06</v>
      </c>
      <c r="Q42" s="8" t="n">
        <v>5952</v>
      </c>
      <c r="R42" s="6" t="inlineStr">
        <is>
          <t>12 diffuseurs : CR1-C1 3G1,5 ≈ 80 m à 1,90 €/m (estimatif) ; tirage 960 m (28,8 h) + pose sous abri 1 h/u ; raccordement 0,5 h/u</t>
        </is>
      </c>
    </row>
    <row r="43">
      <c r="A43" s="6" t="n">
        <v>60</v>
      </c>
      <c r="B43" s="6" t="inlineStr">
        <is>
          <t>5</t>
        </is>
      </c>
      <c r="C43" s="6" t="inlineStr">
        <is>
          <t>Paramétrage et mise en service</t>
        </is>
      </c>
      <c r="D43" s="6" t="inlineStr">
        <is>
          <t>Ens</t>
        </is>
      </c>
      <c r="E43" s="6" t="n">
        <v>1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8</v>
      </c>
      <c r="K43" s="8" t="n">
        <v>8</v>
      </c>
      <c r="L43" s="8" t="n">
        <v>1096</v>
      </c>
      <c r="M43" s="8" t="n">
        <v>1096</v>
      </c>
      <c r="N43" s="8" t="n">
        <v>1.3506</v>
      </c>
      <c r="O43" s="8" t="n">
        <v>1480.31</v>
      </c>
      <c r="P43" s="8" t="n">
        <v>1480.31</v>
      </c>
      <c r="Q43" s="8" t="n">
        <v>1096</v>
      </c>
      <c r="R43" s="6" t="inlineStr">
        <is>
          <t>Programmation centrales P2, essais avec PV ; BE : synoptique d'exécution, repérage, DOE SSI</t>
        </is>
      </c>
    </row>
    <row r="44">
      <c r="A44" s="6" t="n">
        <v>62</v>
      </c>
      <c r="B44" s="6" t="inlineStr">
        <is>
          <t>5</t>
        </is>
      </c>
      <c r="C44" s="6" t="inlineStr">
        <is>
          <t>Fourniture, pose et raccordement liaisons coffret report de contact SSI vers centrales SSI îlots 3 à 10</t>
        </is>
      </c>
      <c r="D44" s="6" t="inlineStr">
        <is>
          <t>Ens</t>
        </is>
      </c>
      <c r="E44" s="6" t="n">
        <v>1</v>
      </c>
      <c r="F44" s="8" t="n">
        <v>0</v>
      </c>
      <c r="G44" s="8" t="n">
        <v>5800</v>
      </c>
      <c r="H44" s="8" t="n">
        <v>60</v>
      </c>
      <c r="I44" s="8" t="n">
        <v>0</v>
      </c>
      <c r="J44" s="8" t="n">
        <v>8</v>
      </c>
      <c r="K44" s="8" t="n">
        <v>0</v>
      </c>
      <c r="L44" s="8" t="n">
        <v>2896</v>
      </c>
      <c r="M44" s="8" t="n">
        <v>8696</v>
      </c>
      <c r="N44" s="8" t="n">
        <v>1.3506</v>
      </c>
      <c r="O44" s="8" t="n">
        <v>11745.25</v>
      </c>
      <c r="P44" s="8" t="n">
        <v>11745.25</v>
      </c>
      <c r="Q44" s="8" t="n">
        <v>8696</v>
      </c>
      <c r="R44" s="6" t="inlineStr">
        <is>
          <t>Îlots 3-10 : 8 × ≈ 250 m 5G1,5 = 2 000 m à 2,90 €/m (estimatif) ; tirage 3 h/100 m + 8 raccordements</t>
        </is>
      </c>
    </row>
    <row r="45">
      <c r="A45" s="6" t="n">
        <v>64</v>
      </c>
      <c r="B45" s="6" t="inlineStr">
        <is>
          <t>5</t>
        </is>
      </c>
      <c r="C45" s="6" t="inlineStr">
        <is>
          <t>Paramétrage et mise en service</t>
        </is>
      </c>
      <c r="D45" s="6" t="inlineStr">
        <is>
          <t>Ens</t>
        </is>
      </c>
      <c r="E45" s="6" t="n">
        <v>1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6</v>
      </c>
      <c r="K45" s="8" t="n">
        <v>2</v>
      </c>
      <c r="L45" s="8" t="n">
        <v>522</v>
      </c>
      <c r="M45" s="8" t="n">
        <v>522</v>
      </c>
      <c r="N45" s="8" t="n">
        <v>1.3506</v>
      </c>
      <c r="O45" s="8" t="n">
        <v>705.04</v>
      </c>
      <c r="P45" s="8" t="n">
        <v>705.04</v>
      </c>
      <c r="Q45" s="8" t="n">
        <v>522</v>
      </c>
      <c r="R45" s="6" t="inlineStr">
        <is>
          <t>Essais reports îlots 3-10, PV ; mise à jour synoptique</t>
        </is>
      </c>
    </row>
    <row r="46">
      <c r="A46" s="6" t="n">
        <v>66</v>
      </c>
      <c r="B46" s="6" t="inlineStr">
        <is>
          <t>5</t>
        </is>
      </c>
      <c r="C46" s="6" t="inlineStr">
        <is>
          <t>Fourniture, pose et raccordement centrale type 3 SSI Poste Energie Hub 3, y compris déclencheurs manuels et sirenes</t>
        </is>
      </c>
      <c r="D46" s="6" t="inlineStr">
        <is>
          <t>Ens</t>
        </is>
      </c>
      <c r="E46" s="6" t="n">
        <v>1</v>
      </c>
      <c r="F46" s="8" t="n">
        <v>302.4</v>
      </c>
      <c r="G46" s="8" t="n">
        <v>0</v>
      </c>
      <c r="H46" s="8" t="n">
        <v>0</v>
      </c>
      <c r="I46" s="8" t="n">
        <v>0</v>
      </c>
      <c r="J46" s="8" t="n">
        <v>4</v>
      </c>
      <c r="K46" s="8" t="n">
        <v>0</v>
      </c>
      <c r="L46" s="8" t="n">
        <v>248</v>
      </c>
      <c r="M46" s="8" t="n">
        <v>550.4</v>
      </c>
      <c r="N46" s="8" t="n">
        <v>1.3506</v>
      </c>
      <c r="O46" s="8" t="n">
        <v>743.4</v>
      </c>
      <c r="P46" s="8" t="n">
        <v>743.4</v>
      </c>
      <c r="Q46" s="8" t="n">
        <v>550.4</v>
      </c>
      <c r="R46" s="6" t="inlineStr">
        <is>
          <t>Pose centrale type 3 Hub 3</t>
        </is>
      </c>
    </row>
    <row r="47">
      <c r="A47" s="6" t="n">
        <v>67</v>
      </c>
      <c r="B47" s="6" t="inlineStr">
        <is>
          <t>5</t>
        </is>
      </c>
      <c r="C47" s="6" t="inlineStr">
        <is>
          <t>Fourniture, pose et raccordement liaisons coffret report de contact SSI vers alarmes Type 3 SSI îlots 1 à 20, poste énergie Hub 3</t>
        </is>
      </c>
      <c r="D47" s="6" t="inlineStr">
        <is>
          <t>Ens</t>
        </is>
      </c>
      <c r="E47" s="6" t="n">
        <v>1</v>
      </c>
      <c r="F47" s="8" t="n">
        <v>0</v>
      </c>
      <c r="G47" s="8" t="n">
        <v>9050</v>
      </c>
      <c r="H47" s="8" t="n">
        <v>75</v>
      </c>
      <c r="I47" s="8" t="n">
        <v>0</v>
      </c>
      <c r="J47" s="8" t="n">
        <v>20</v>
      </c>
      <c r="K47" s="8" t="n">
        <v>0</v>
      </c>
      <c r="L47" s="8" t="n">
        <v>4240</v>
      </c>
      <c r="M47" s="8" t="n">
        <v>13290</v>
      </c>
      <c r="N47" s="8" t="n">
        <v>1.3506</v>
      </c>
      <c r="O47" s="8" t="n">
        <v>17950.13</v>
      </c>
      <c r="P47" s="8" t="n">
        <v>17950.13</v>
      </c>
      <c r="Q47" s="8" t="n">
        <v>13290</v>
      </c>
      <c r="R47" s="6" t="inlineStr">
        <is>
          <t>P4 estimatif : 3 câbles 7G1,5 × 400 m vers DC11 + 20 × 50 m 5G1,5 + Hub 3 300 m 7G1,5 ; tirage 2 500 m à 3 h/100 m + 20 raccordements</t>
        </is>
      </c>
    </row>
    <row r="48">
      <c r="A48" s="6" t="n">
        <v>69</v>
      </c>
      <c r="B48" s="6" t="inlineStr">
        <is>
          <t>5</t>
        </is>
      </c>
      <c r="C48" s="6" t="inlineStr">
        <is>
          <t>Paramétrage et mise en service</t>
        </is>
      </c>
      <c r="D48" s="6" t="inlineStr">
        <is>
          <t>Ens</t>
        </is>
      </c>
      <c r="E48" s="6" t="n">
        <v>1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8</v>
      </c>
      <c r="K48" s="8" t="n">
        <v>4</v>
      </c>
      <c r="L48" s="8" t="n">
        <v>796</v>
      </c>
      <c r="M48" s="8" t="n">
        <v>796</v>
      </c>
      <c r="N48" s="8" t="n">
        <v>1.3506</v>
      </c>
      <c r="O48" s="8" t="n">
        <v>1075.12</v>
      </c>
      <c r="P48" s="8" t="n">
        <v>1075.12</v>
      </c>
      <c r="Q48" s="8" t="n">
        <v>796</v>
      </c>
      <c r="R48" s="6" t="inlineStr">
        <is>
          <t>Programmation P4, essais 20 reports + Hub 3, PV ; BE : synoptique P4, DOE</t>
        </is>
      </c>
    </row>
    <row r="49">
      <c r="A49" s="6" t="n">
        <v>74</v>
      </c>
      <c r="B49" s="6" t="inlineStr">
        <is>
          <t>6</t>
        </is>
      </c>
      <c r="C49" s="6" t="inlineStr">
        <is>
          <t>Fourniture, pose et raccordement caméra fixe + mât (28 Caméras), avec maillage zone chantier + périphérie y compris intrusion marque HIKVISION</t>
        </is>
      </c>
      <c r="D49" s="6" t="inlineStr">
        <is>
          <t>U</t>
        </is>
      </c>
      <c r="E49" s="6" t="n">
        <v>28</v>
      </c>
      <c r="F49" s="8" t="n">
        <v>142.14</v>
      </c>
      <c r="G49" s="8" t="n">
        <v>300</v>
      </c>
      <c r="H49" s="8" t="n">
        <v>4.5</v>
      </c>
      <c r="I49" s="8" t="n">
        <v>0.5</v>
      </c>
      <c r="J49" s="8" t="n">
        <v>0</v>
      </c>
      <c r="K49" s="8" t="n">
        <v>0</v>
      </c>
      <c r="L49" s="8" t="n">
        <v>210</v>
      </c>
      <c r="M49" s="8" t="n">
        <v>652.14</v>
      </c>
      <c r="N49" s="8" t="n">
        <v>1.4444</v>
      </c>
      <c r="O49" s="8" t="n">
        <v>941.98</v>
      </c>
      <c r="P49" s="8" t="n">
        <v>26375.44</v>
      </c>
      <c r="Q49" s="8" t="n">
        <v>18259.92</v>
      </c>
      <c r="R49" s="6" t="inlineStr">
        <is>
          <t>Fourniture ajoutée : mât acier galva ≈ 6 m 300 €/u (estimatif, non chiffré au devis CCF ; massif au lot GC). MO : pose mât 1,5 h + caméra en hauteur 2,5 h + raccordement 0,5 h + 0,5 h (réf. ECLAIRION 2 h + 0,5 + 0,5) ; nacelle non comptée (hypothèse optimiste : nacelle chantier EXYTE)</t>
        </is>
      </c>
    </row>
    <row r="50">
      <c r="A50" s="6" t="n">
        <v>75</v>
      </c>
      <c r="B50" s="6" t="inlineStr">
        <is>
          <t>6</t>
        </is>
      </c>
      <c r="C50" s="6" t="inlineStr">
        <is>
          <t>Fourniture, pose et raccordement liaison RJ45 CAT6A F/STP POE pour alimentation caméras + switchs industriels rail DIN de vidéoprotection dans coffrets de zone (coffrets fournis et posés par SPIE)</t>
        </is>
      </c>
      <c r="D50" s="6" t="inlineStr">
        <is>
          <t>Ens</t>
        </is>
      </c>
      <c r="E50" s="6" t="n">
        <v>1</v>
      </c>
      <c r="F50" s="8" t="n">
        <v>6697.6</v>
      </c>
      <c r="G50" s="8" t="n">
        <v>2716</v>
      </c>
      <c r="H50" s="8" t="n">
        <v>56</v>
      </c>
      <c r="I50" s="8" t="n">
        <v>16</v>
      </c>
      <c r="J50" s="8" t="n">
        <v>0</v>
      </c>
      <c r="K50" s="8" t="n">
        <v>0</v>
      </c>
      <c r="L50" s="8" t="n">
        <v>3200</v>
      </c>
      <c r="M50" s="8" t="n">
        <v>12613.6</v>
      </c>
      <c r="N50" s="8" t="n">
        <v>1.4444</v>
      </c>
      <c r="O50" s="8" t="n">
        <v>18219.64</v>
      </c>
      <c r="P50" s="8" t="n">
        <v>18219.64</v>
      </c>
      <c r="Q50" s="8" t="n">
        <v>12613.6</v>
      </c>
      <c r="R50" s="6" t="inlineStr">
        <is>
          <t>Fourniture ajoutée : 28 liaisons Cat. 6A extérieures ≈ 50 m à 1,70 €/m + connecteurs (estimatif). MO : 28 liaisons × 2 h + 8 coffrets × 2 h (switch, alim 48 V, boîtier optique)</t>
        </is>
      </c>
    </row>
    <row r="51">
      <c r="A51" s="6" t="n">
        <v>76</v>
      </c>
      <c r="B51" s="6" t="inlineStr">
        <is>
          <t>6</t>
        </is>
      </c>
      <c r="C51" s="6" t="inlineStr">
        <is>
          <t>Enregistreur NVR marque HIKVISION</t>
        </is>
      </c>
      <c r="D51" s="6" t="inlineStr">
        <is>
          <t>Ens</t>
        </is>
      </c>
      <c r="E51" s="6" t="n">
        <v>1</v>
      </c>
      <c r="F51" s="8" t="n">
        <v>2252.12</v>
      </c>
      <c r="G51" s="8" t="n">
        <v>0</v>
      </c>
      <c r="H51" s="8" t="n">
        <v>0</v>
      </c>
      <c r="I51" s="8" t="n">
        <v>3</v>
      </c>
      <c r="J51" s="8" t="n">
        <v>0</v>
      </c>
      <c r="K51" s="8" t="n">
        <v>0</v>
      </c>
      <c r="L51" s="8" t="n">
        <v>180</v>
      </c>
      <c r="M51" s="8" t="n">
        <v>2432.12</v>
      </c>
      <c r="N51" s="8" t="n">
        <v>1.4444</v>
      </c>
      <c r="O51" s="8" t="n">
        <v>3513.06</v>
      </c>
      <c r="P51" s="8" t="n">
        <v>3513.06</v>
      </c>
      <c r="Q51" s="8" t="n">
        <v>2432.12</v>
      </c>
      <c r="R51" s="6" t="inlineStr">
        <is>
          <t>Pose NVR + disque en baie Hub 1</t>
        </is>
      </c>
    </row>
    <row r="52">
      <c r="A52" s="6" t="n">
        <v>77</v>
      </c>
      <c r="B52" s="6" t="inlineStr">
        <is>
          <t>6</t>
        </is>
      </c>
      <c r="C52" s="6" t="inlineStr">
        <is>
          <t>Paramétrage / Logiciel (analyse comportementale et port des EPI, intrusion périphérique)</t>
        </is>
      </c>
      <c r="D52" s="6" t="inlineStr">
        <is>
          <t>Ens</t>
        </is>
      </c>
      <c r="E52" s="6" t="n">
        <v>1</v>
      </c>
      <c r="F52" s="8" t="n">
        <v>933.77</v>
      </c>
      <c r="G52" s="8" t="n">
        <v>0</v>
      </c>
      <c r="H52" s="8" t="n">
        <v>0</v>
      </c>
      <c r="I52" s="8" t="n">
        <v>36</v>
      </c>
      <c r="J52" s="8" t="n">
        <v>0</v>
      </c>
      <c r="K52" s="8" t="n">
        <v>20</v>
      </c>
      <c r="L52" s="8" t="n">
        <v>3660</v>
      </c>
      <c r="M52" s="8" t="n">
        <v>4593.77</v>
      </c>
      <c r="N52" s="8" t="n">
        <v>1.4444</v>
      </c>
      <c r="O52" s="8" t="n">
        <v>6635.45</v>
      </c>
      <c r="P52" s="8" t="n">
        <v>6635.45</v>
      </c>
      <c r="Q52" s="8" t="n">
        <v>4593.77</v>
      </c>
      <c r="R52" s="6" t="inlineStr">
        <is>
          <t>Paramétrage NVR/iVMS 8 h + 28 caméras × 1 h (analyse intrusion/EPI) (réf. ECLAIRION 1,5 h/cam, optimisé) ; BE : étude de couverture, zones, RGPD 16 h + DOE 4 h</t>
        </is>
      </c>
    </row>
    <row r="53">
      <c r="A53" s="6" t="n">
        <v>78</v>
      </c>
      <c r="B53" s="6" t="inlineStr">
        <is>
          <t>6</t>
        </is>
      </c>
      <c r="C53" s="6" t="inlineStr">
        <is>
          <t>Recettage cuivre</t>
        </is>
      </c>
      <c r="D53" s="6" t="inlineStr">
        <is>
          <t>Ens</t>
        </is>
      </c>
      <c r="E53" s="6" t="n">
        <v>1</v>
      </c>
      <c r="F53" s="8" t="n">
        <v>0</v>
      </c>
      <c r="G53" s="8" t="n">
        <v>0</v>
      </c>
      <c r="H53" s="8" t="n">
        <v>0</v>
      </c>
      <c r="I53" s="8" t="n">
        <v>5</v>
      </c>
      <c r="J53" s="8" t="n">
        <v>0</v>
      </c>
      <c r="K53" s="8" t="n">
        <v>0</v>
      </c>
      <c r="L53" s="8" t="n">
        <v>300</v>
      </c>
      <c r="M53" s="8" t="n">
        <v>300</v>
      </c>
      <c r="N53" s="8" t="n">
        <v>1.4444</v>
      </c>
      <c r="O53" s="8" t="n">
        <v>433.33</v>
      </c>
      <c r="P53" s="8" t="n">
        <v>433.33</v>
      </c>
      <c r="Q53" s="8" t="n">
        <v>300</v>
      </c>
      <c r="R53" s="6" t="inlineStr">
        <is>
          <t>Recette 28 liaisons × 0,1 h + PV 2 h</t>
        </is>
      </c>
    </row>
    <row r="54">
      <c r="A54" s="6" t="n">
        <v>81</v>
      </c>
      <c r="B54" s="6" t="inlineStr">
        <is>
          <t>7</t>
        </is>
      </c>
      <c r="C54" s="6" t="inlineStr">
        <is>
          <t>Fourniture, pose et raccordement automate WAGO avec interface Ethernet modbus TCP/IP TGBT Hub 1, Hub 2 et Hub 3</t>
        </is>
      </c>
      <c r="D54" s="6" t="inlineStr">
        <is>
          <t>U</t>
        </is>
      </c>
      <c r="E54" s="6" t="n">
        <v>3</v>
      </c>
      <c r="F54" s="8" t="n">
        <v>0</v>
      </c>
      <c r="G54" s="8" t="n">
        <v>820</v>
      </c>
      <c r="H54" s="8" t="n">
        <v>0</v>
      </c>
      <c r="I54" s="8" t="n">
        <v>3</v>
      </c>
      <c r="J54" s="8" t="n">
        <v>0</v>
      </c>
      <c r="K54" s="8" t="n">
        <v>0</v>
      </c>
      <c r="L54" s="8" t="n">
        <v>180</v>
      </c>
      <c r="M54" s="8" t="n">
        <v>1000</v>
      </c>
      <c r="N54" s="8" t="n">
        <v>1.4444</v>
      </c>
      <c r="O54" s="8" t="n">
        <v>1444.44</v>
      </c>
      <c r="P54" s="8" t="n">
        <v>4333.32</v>
      </c>
      <c r="Q54" s="8" t="n">
        <v>3000</v>
      </c>
      <c r="R54" s="6" t="inlineStr">
        <is>
          <t>PROVISOIRE (offre Aetherys attendue) : WAGO CC100 751-9301 580 € + 2 modules 16 entrées ≈ 120 € (estimatif) ; pose en TGBT 3 h</t>
        </is>
      </c>
    </row>
    <row r="55">
      <c r="A55" s="6" t="n">
        <v>82</v>
      </c>
      <c r="B55" s="6" t="inlineStr">
        <is>
          <t>7</t>
        </is>
      </c>
      <c r="C55" s="6" t="inlineStr">
        <is>
          <t>Fourniture, pose et raccordement alimentation automate WAGO</t>
        </is>
      </c>
      <c r="D55" s="6" t="inlineStr">
        <is>
          <t>U</t>
        </is>
      </c>
      <c r="E55" s="6" t="n">
        <v>3</v>
      </c>
      <c r="F55" s="8" t="n">
        <v>0</v>
      </c>
      <c r="G55" s="8" t="n">
        <v>150</v>
      </c>
      <c r="H55" s="8" t="n">
        <v>0</v>
      </c>
      <c r="I55" s="8" t="n">
        <v>0.5</v>
      </c>
      <c r="J55" s="8" t="n">
        <v>0</v>
      </c>
      <c r="K55" s="8" t="n">
        <v>0</v>
      </c>
      <c r="L55" s="8" t="n">
        <v>30</v>
      </c>
      <c r="M55" s="8" t="n">
        <v>180</v>
      </c>
      <c r="N55" s="8" t="n">
        <v>1.4444</v>
      </c>
      <c r="O55" s="8" t="n">
        <v>260</v>
      </c>
      <c r="P55" s="8" t="n">
        <v>780</v>
      </c>
      <c r="Q55" s="8" t="n">
        <v>540</v>
      </c>
      <c r="R55" s="6" t="inlineStr">
        <is>
          <t>PROVISOIRE : alimentation 24 V 787-1622 150 € ; pose 0,5 h (réf. SAFRAN)</t>
        </is>
      </c>
    </row>
    <row r="56">
      <c r="A56" s="6" t="n">
        <v>83</v>
      </c>
      <c r="B56" s="6" t="inlineStr">
        <is>
          <t>7</t>
        </is>
      </c>
      <c r="C56" s="6" t="inlineStr">
        <is>
          <t>Fourniture, pose et raccordement liaison WAGO vers switch GTB</t>
        </is>
      </c>
      <c r="D56" s="6" t="inlineStr">
        <is>
          <t>U</t>
        </is>
      </c>
      <c r="E56" s="6" t="n">
        <v>3</v>
      </c>
      <c r="F56" s="8" t="n">
        <v>0</v>
      </c>
      <c r="G56" s="8" t="n">
        <v>30</v>
      </c>
      <c r="H56" s="8" t="n">
        <v>1</v>
      </c>
      <c r="I56" s="8" t="n">
        <v>0</v>
      </c>
      <c r="J56" s="8" t="n">
        <v>0</v>
      </c>
      <c r="K56" s="8" t="n">
        <v>0</v>
      </c>
      <c r="L56" s="8" t="n">
        <v>40</v>
      </c>
      <c r="M56" s="8" t="n">
        <v>70</v>
      </c>
      <c r="N56" s="8" t="n">
        <v>1.4444</v>
      </c>
      <c r="O56" s="8" t="n">
        <v>101.11</v>
      </c>
      <c r="P56" s="8" t="n">
        <v>303.33</v>
      </c>
      <c r="Q56" s="8" t="n">
        <v>210</v>
      </c>
      <c r="R56" s="6" t="inlineStr">
        <is>
          <t>Cordon/liaison Cat. 6A vers switch terrain</t>
        </is>
      </c>
    </row>
    <row r="57">
      <c r="A57" s="6" t="n">
        <v>84</v>
      </c>
      <c r="B57" s="6" t="inlineStr">
        <is>
          <t>7</t>
        </is>
      </c>
      <c r="C57" s="6" t="inlineStr">
        <is>
          <t>Fourniture, pose et raccordement liaison interne contacts SD vers automate WAGO dans les TGBT Hub 1, Hub 2 et Hub 3</t>
        </is>
      </c>
      <c r="D57" s="6" t="inlineStr">
        <is>
          <t>U</t>
        </is>
      </c>
      <c r="E57" s="6" t="n">
        <v>3</v>
      </c>
      <c r="F57" s="8" t="n">
        <v>0</v>
      </c>
      <c r="G57" s="8" t="n">
        <v>80</v>
      </c>
      <c r="H57" s="8" t="n">
        <v>5</v>
      </c>
      <c r="I57" s="8" t="n">
        <v>1</v>
      </c>
      <c r="J57" s="8" t="n">
        <v>0</v>
      </c>
      <c r="K57" s="8" t="n">
        <v>0</v>
      </c>
      <c r="L57" s="8" t="n">
        <v>260</v>
      </c>
      <c r="M57" s="8" t="n">
        <v>340</v>
      </c>
      <c r="N57" s="8" t="n">
        <v>1.4444</v>
      </c>
      <c r="O57" s="8" t="n">
        <v>491.11</v>
      </c>
      <c r="P57" s="8" t="n">
        <v>1473.33</v>
      </c>
      <c r="Q57" s="8" t="n">
        <v>1020</v>
      </c>
      <c r="R57" s="6" t="inlineStr">
        <is>
          <t>≈ 20 contacts SD/TOR par TGBT × 0,25 h + contrôle ; fils et borniers 80 €</t>
        </is>
      </c>
    </row>
    <row r="58">
      <c r="A58" s="6" t="n">
        <v>85</v>
      </c>
      <c r="B58" s="6" t="inlineStr">
        <is>
          <t>7</t>
        </is>
      </c>
      <c r="C58" s="6" t="inlineStr">
        <is>
          <t>Fourniture, pose et raccordement liaison interne compteur d'énergie TGBT Hub 1, 2 et 3 vers automate WAGO</t>
        </is>
      </c>
      <c r="D58" s="6" t="inlineStr">
        <is>
          <t>U</t>
        </is>
      </c>
      <c r="E58" s="6" t="n">
        <v>3</v>
      </c>
      <c r="F58" s="8" t="n">
        <v>0</v>
      </c>
      <c r="G58" s="8" t="n">
        <v>40</v>
      </c>
      <c r="H58" s="8" t="n">
        <v>2</v>
      </c>
      <c r="I58" s="8" t="n">
        <v>1</v>
      </c>
      <c r="J58" s="8" t="n">
        <v>0</v>
      </c>
      <c r="K58" s="8" t="n">
        <v>0</v>
      </c>
      <c r="L58" s="8" t="n">
        <v>140</v>
      </c>
      <c r="M58" s="8" t="n">
        <v>180</v>
      </c>
      <c r="N58" s="8" t="n">
        <v>1.4444</v>
      </c>
      <c r="O58" s="8" t="n">
        <v>260</v>
      </c>
      <c r="P58" s="8" t="n">
        <v>780</v>
      </c>
      <c r="Q58" s="8" t="n">
        <v>540</v>
      </c>
      <c r="R58" s="6" t="inlineStr">
        <is>
          <t>Bus RS485 2 compteurs ≈ 30 m (0,07 h/ml, réf. SAFRAN) + raccordement</t>
        </is>
      </c>
    </row>
    <row r="59">
      <c r="A59" s="6" t="n">
        <v>86</v>
      </c>
      <c r="B59" s="6" t="inlineStr">
        <is>
          <t>7</t>
        </is>
      </c>
      <c r="C59" s="6" t="inlineStr">
        <is>
          <t>Fourniture, pose et raccordement ordinateur fixe avec 2 écrans au niveau du poste de garde</t>
        </is>
      </c>
      <c r="D59" s="6" t="inlineStr">
        <is>
          <t>U</t>
        </is>
      </c>
      <c r="E59" s="6" t="n">
        <v>1</v>
      </c>
      <c r="F59" s="8" t="n">
        <v>0</v>
      </c>
      <c r="G59" s="8" t="n">
        <v>1150</v>
      </c>
      <c r="H59" s="8" t="n">
        <v>0</v>
      </c>
      <c r="I59" s="8" t="n">
        <v>3</v>
      </c>
      <c r="J59" s="8" t="n">
        <v>0</v>
      </c>
      <c r="K59" s="8" t="n">
        <v>0</v>
      </c>
      <c r="L59" s="8" t="n">
        <v>180</v>
      </c>
      <c r="M59" s="8" t="n">
        <v>1330</v>
      </c>
      <c r="N59" s="8" t="n">
        <v>1.4444</v>
      </c>
      <c r="O59" s="8" t="n">
        <v>1921.11</v>
      </c>
      <c r="P59" s="8" t="n">
        <v>1921.11</v>
      </c>
      <c r="Q59" s="8" t="n">
        <v>1330</v>
      </c>
      <c r="R59" s="6" t="inlineStr">
        <is>
          <t>PROVISOIRE : PC fixe + 2 écrans 24" 1 150 € (prix budgétaire de repli) ; installation 3 h</t>
        </is>
      </c>
    </row>
    <row r="60">
      <c r="A60" s="6" t="n">
        <v>87</v>
      </c>
      <c r="B60" s="6" t="inlineStr">
        <is>
          <t>7</t>
        </is>
      </c>
      <c r="C60" s="6" t="inlineStr">
        <is>
          <t>Paramétrage / Logiciel avec historisation (Licence, dashboards consos, alertes SMS/Mail)</t>
        </is>
      </c>
      <c r="D60" s="6" t="inlineStr">
        <is>
          <t>Ens</t>
        </is>
      </c>
      <c r="E60" s="6" t="n">
        <v>1</v>
      </c>
      <c r="F60" s="8" t="n">
        <v>0</v>
      </c>
      <c r="G60" s="8" t="n">
        <v>250</v>
      </c>
      <c r="H60" s="8" t="n">
        <v>0</v>
      </c>
      <c r="I60" s="8" t="n">
        <v>40</v>
      </c>
      <c r="J60" s="8" t="n">
        <v>0</v>
      </c>
      <c r="K60" s="8" t="n">
        <v>16</v>
      </c>
      <c r="L60" s="8" t="n">
        <v>3600</v>
      </c>
      <c r="M60" s="8" t="n">
        <v>3850</v>
      </c>
      <c r="N60" s="8" t="n">
        <v>1.4444</v>
      </c>
      <c r="O60" s="8" t="n">
        <v>5561.11</v>
      </c>
      <c r="P60" s="8" t="n">
        <v>5561.11</v>
      </c>
      <c r="Q60" s="8" t="n">
        <v>3850</v>
      </c>
      <c r="R60" s="6" t="inlineStr">
        <is>
          <t>PROVISOIRE : passerelle SMS 4G 250 € (estimatif), logiciel de supervision sans licence ; programmation 3 automates × 8 h + supervision/dashboards 12 h + essais point à point 4 h ; BE : liste des points, analyse fonctionnelle,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2026-10-16T15:00:55Z</dcterms:created>
  <dcterms:modified xmlns:dcterms="http://purl.org/dc/terms/" xmlns:xsi="http://www.w3.org/2001/XMLSchema-instance" xsi:type="dcterms:W3CDTF">2026-10-16T16:31:37Z</dcterms:modified>
</cp:coreProperties>
</file>