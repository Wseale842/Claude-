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cap" sheetId="1" state="visible" r:id="rId1"/>
    <sheet xmlns:r="http://schemas.openxmlformats.org/officeDocument/2006/relationships" name="FCI" sheetId="2" state="visible" r:id="rId2"/>
    <sheet xmlns:r="http://schemas.openxmlformats.org/officeDocument/2006/relationships" name="Paramètres" sheetId="3" state="visible" r:id="rId3"/>
    <sheet xmlns:r="http://schemas.openxmlformats.org/officeDocument/2006/relationships" name="Détail chiffrage" sheetId="4" state="visible" r:id="rId4"/>
    <sheet xmlns:r="http://schemas.openxmlformats.org/officeDocument/2006/relationships" name="Points ouv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0.0000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2B2640"/>
      </patternFill>
    </fill>
    <fill>
      <patternFill patternType="solid">
        <fgColor rgb="00FFF2CC"/>
      </patternFill>
    </fill>
    <fill>
      <patternFill patternType="solid">
        <fgColor rgb="00E8E1FF"/>
      </patternFill>
    </fill>
    <fill>
      <patternFill patternType="solid">
        <fgColor rgb="00F3F0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166" fontId="3" fillId="0" borderId="1" pivotButton="0" quotePrefix="0" xfId="0"/>
    <xf numFmtId="0" fontId="1" fillId="2" borderId="1" applyAlignment="1" pivotButton="0" quotePrefix="0" xfId="0">
      <alignment vertical="top" wrapText="1"/>
    </xf>
    <xf numFmtId="164" fontId="1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0" customWidth="1" min="8" max="8"/>
  </cols>
  <sheetData>
    <row r="1">
      <c r="A1" s="1" t="inlineStr">
        <is>
          <t>Récap FCI v6 — KHAZNA ORY01 — courants faibles base vie &amp; chantier — 16/10/2026 (mise à jour GTB AETHERYS)</t>
        </is>
      </c>
    </row>
    <row r="3">
      <c r="A3" s="2" t="inlineStr">
        <is>
          <t>Lot</t>
        </is>
      </c>
      <c r="B3" s="2" t="inlineStr">
        <is>
          <t>Désignation</t>
        </is>
      </c>
      <c r="C3" s="2" t="inlineStr">
        <is>
          <t>Fournitures PR</t>
        </is>
      </c>
      <c r="D3" s="2" t="inlineStr">
        <is>
          <t>MO PR</t>
        </is>
      </c>
      <c r="E3" s="2" t="inlineStr">
        <is>
          <t>Total PR</t>
        </is>
      </c>
      <c r="F3" s="2" t="inlineStr">
        <is>
          <t>Total PV HT</t>
        </is>
      </c>
      <c r="G3" s="2" t="inlineStr">
        <is>
          <t>Marge brute</t>
        </is>
      </c>
      <c r="H3" s="2" t="inlineStr">
        <is>
          <t>Taux / PV</t>
        </is>
      </c>
    </row>
    <row r="4">
      <c r="A4" s="3" t="n">
        <v>4</v>
      </c>
      <c r="B4" s="3" t="inlineStr">
        <is>
          <t>Informatique, audiovisuel, affichage</t>
        </is>
      </c>
      <c r="C4" s="4">
        <f>SUMPRODUCT(('Détail chiffrage'!B2:B61="4")*('Détail chiffrage'!F2:F61+'Détail chiffrage'!G2:G61)*'Détail chiffrage'!E2:E61)</f>
        <v/>
      </c>
      <c r="D4" s="4">
        <f>SUMPRODUCT(('Détail chiffrage'!B2:B61="4")*'Détail chiffrage'!L2:L61*'Détail chiffrage'!E2:E61)</f>
        <v/>
      </c>
      <c r="E4" s="4">
        <f>C4+D4</f>
        <v/>
      </c>
      <c r="F4" s="4">
        <f>FCI!F51</f>
        <v/>
      </c>
      <c r="G4" s="4">
        <f>F4-E4</f>
        <v/>
      </c>
      <c r="H4" s="5">
        <f>IF(F4=0,0,G4/F4)</f>
        <v/>
      </c>
    </row>
    <row r="5">
      <c r="A5" s="3" t="n">
        <v>5</v>
      </c>
      <c r="B5" s="3" t="inlineStr">
        <is>
          <t>Sécurité SSI</t>
        </is>
      </c>
      <c r="C5" s="4">
        <f>SUMPRODUCT(('Détail chiffrage'!B2:B61="5")*('Détail chiffrage'!F2:F61+'Détail chiffrage'!G2:G61)*'Détail chiffrage'!E2:E61)</f>
        <v/>
      </c>
      <c r="D5" s="4">
        <f>SUMPRODUCT(('Détail chiffrage'!B2:B61="5")*'Détail chiffrage'!L2:L61*'Détail chiffrage'!E2:E61)</f>
        <v/>
      </c>
      <c r="E5" s="4">
        <f>C5+D5</f>
        <v/>
      </c>
      <c r="F5" s="4">
        <f>FCI!F73</f>
        <v/>
      </c>
      <c r="G5" s="4">
        <f>F5-E5</f>
        <v/>
      </c>
      <c r="H5" s="5">
        <f>IF(F5=0,0,G5/F5)</f>
        <v/>
      </c>
    </row>
    <row r="6">
      <c r="A6" s="3" t="n">
        <v>6</v>
      </c>
      <c r="B6" s="3" t="inlineStr">
        <is>
          <t>Vidéosurveillance</t>
        </is>
      </c>
      <c r="C6" s="4">
        <f>SUMPRODUCT(('Détail chiffrage'!B2:B61="6")*('Détail chiffrage'!F2:F61+'Détail chiffrage'!G2:G61)*'Détail chiffrage'!E2:E61)</f>
        <v/>
      </c>
      <c r="D6" s="4">
        <f>SUMPRODUCT(('Détail chiffrage'!B2:B61="6")*'Détail chiffrage'!L2:L61*'Détail chiffrage'!E2:E61)</f>
        <v/>
      </c>
      <c r="E6" s="4">
        <f>C6+D6</f>
        <v/>
      </c>
      <c r="F6" s="4">
        <f>FCI!F83</f>
        <v/>
      </c>
      <c r="G6" s="4">
        <f>F6-E6</f>
        <v/>
      </c>
      <c r="H6" s="5">
        <f>IF(F6=0,0,G6/F6)</f>
        <v/>
      </c>
    </row>
    <row r="7">
      <c r="A7" s="3" t="n">
        <v>7</v>
      </c>
      <c r="B7" s="3" t="inlineStr">
        <is>
          <t>GTB / GTE (offre AETHERYS 16/10)</t>
        </is>
      </c>
      <c r="C7" s="4">
        <f>SUMPRODUCT(('Détail chiffrage'!B2:B61="7")*('Détail chiffrage'!F2:F61+'Détail chiffrage'!G2:G61)*'Détail chiffrage'!E2:E61)</f>
        <v/>
      </c>
      <c r="D7" s="4">
        <f>SUMPRODUCT(('Détail chiffrage'!B2:B61="7")*'Détail chiffrage'!L2:L61*'Détail chiffrage'!E2:E61)</f>
        <v/>
      </c>
      <c r="E7" s="4">
        <f>C7+D7</f>
        <v/>
      </c>
      <c r="F7" s="4">
        <f>FCI!F93</f>
        <v/>
      </c>
      <c r="G7" s="4">
        <f>F7-E7</f>
        <v/>
      </c>
      <c r="H7" s="5">
        <f>IF(F7=0,0,G7/F7)</f>
        <v/>
      </c>
    </row>
    <row r="8">
      <c r="A8" s="6" t="inlineStr"/>
      <c r="B8" s="6" t="inlineStr">
        <is>
          <t>TOTAL</t>
        </is>
      </c>
      <c r="C8" s="7">
        <f>SUM(C4:C7)</f>
        <v/>
      </c>
      <c r="D8" s="7">
        <f>SUM(D4:D7)</f>
        <v/>
      </c>
      <c r="E8" s="7">
        <f>SUM(E4:E7)</f>
        <v/>
      </c>
      <c r="F8" s="7">
        <f>SUM(F4:F7)</f>
        <v/>
      </c>
      <c r="G8" s="7">
        <f>SUM(G4:G7)</f>
        <v/>
      </c>
      <c r="H8" s="8">
        <f>G8/F8</f>
        <v/>
      </c>
    </row>
    <row r="10">
      <c r="A10" t="inlineStr">
        <is>
          <t>Hors FCI : études EXE.CFA (DPGF §2 « Architecture IT &amp; audiovisuel »), part CFA de la maintenance 28 mois et permanence 24/7 (DPGF §8), encadrement, déplacements, nacelle.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5" customWidth="1" min="2" max="2"/>
    <col width="6" customWidth="1" min="3" max="3"/>
    <col width="7" customWidth="1" min="4" max="4"/>
    <col width="13" customWidth="1" min="5" max="5"/>
    <col width="14" customWidth="1" min="6" max="6"/>
    <col width="80" customWidth="1" min="7" max="7"/>
  </cols>
  <sheetData>
    <row r="1">
      <c r="A1" s="1" t="inlineStr">
        <is>
          <t>KHAZNA ORY01 — Lot courants faibles base vie &amp; chantier — FCI PROSYB v6 (DPGF FR02201-ENG-ELEC-OTH-1029-01, lots 4 à 7)</t>
        </is>
      </c>
    </row>
    <row r="2">
      <c r="A2" t="inlineStr">
        <is>
          <t>Prix de vente HT. Lignes « Hors lot » / « LOT GC » non chiffrées. Cellules jaunes du détail = fournitures estimatives sans devis.</t>
        </is>
      </c>
    </row>
    <row r="3">
      <c r="A3" s="9" t="inlineStr">
        <is>
          <t>N°/Lot</t>
        </is>
      </c>
      <c r="B3" s="9" t="inlineStr">
        <is>
          <t>DESIGNATION</t>
        </is>
      </c>
      <c r="C3" s="9" t="inlineStr">
        <is>
          <t>U</t>
        </is>
      </c>
      <c r="D3" s="9" t="inlineStr">
        <is>
          <t>Qt.</t>
        </is>
      </c>
      <c r="E3" s="10" t="inlineStr">
        <is>
          <t>P.U. (€)</t>
        </is>
      </c>
      <c r="F3" s="10" t="inlineStr">
        <is>
          <t>P.T. (€)</t>
        </is>
      </c>
      <c r="G3" s="9" t="inlineStr">
        <is>
          <t>COMMENTAIRES / SOURCE</t>
        </is>
      </c>
    </row>
    <row r="4">
      <c r="A4" s="11" t="inlineStr">
        <is>
          <t>4</t>
        </is>
      </c>
      <c r="B4" s="12" t="inlineStr">
        <is>
          <t>INFORMATIQUE &amp; AUDIOVISUEL &amp; AFFICHAGES LED</t>
        </is>
      </c>
      <c r="C4" s="11" t="n"/>
      <c r="D4" s="11" t="n"/>
      <c r="E4" s="13" t="n"/>
      <c r="F4" s="13" t="n"/>
      <c r="G4" s="11" t="n"/>
    </row>
    <row r="5">
      <c r="A5" s="14" t="inlineStr">
        <is>
          <t>4.1</t>
        </is>
      </c>
      <c r="B5" s="15" t="inlineStr">
        <is>
          <t>Phase 2 (2 mois)</t>
        </is>
      </c>
      <c r="C5" s="14" t="inlineStr"/>
      <c r="D5" s="14" t="inlineStr"/>
      <c r="E5" s="16" t="inlineStr"/>
      <c r="F5" s="16" t="inlineStr"/>
      <c r="G5" s="14" t="inlineStr"/>
    </row>
    <row r="6">
      <c r="A6" s="14" t="inlineStr"/>
      <c r="B6" s="15" t="inlineStr">
        <is>
          <t>Informatique cœur de réseau</t>
        </is>
      </c>
      <c r="C6" s="14" t="inlineStr"/>
      <c r="D6" s="14" t="inlineStr"/>
      <c r="E6" s="16" t="inlineStr"/>
      <c r="F6" s="16" t="inlineStr"/>
      <c r="G6" s="14" t="inlineStr"/>
    </row>
    <row r="7">
      <c r="A7" s="17" t="inlineStr"/>
      <c r="B7" s="17" t="inlineStr">
        <is>
          <t>Fourniture, pose et raccordement répartiteur informatique principal dans poste énergie Hub 1, incluant switch PoE</t>
        </is>
      </c>
      <c r="C7" s="17" t="inlineStr">
        <is>
          <t>Ens</t>
        </is>
      </c>
      <c r="D7" s="17" t="n">
        <v>1</v>
      </c>
      <c r="E7" s="18">
        <f>'Détail chiffrage'!O2</f>
        <v/>
      </c>
      <c r="F7" s="18">
        <f>D7*E7</f>
        <v/>
      </c>
      <c r="G7" s="17">
        <f>'Détail chiffrage'!R2</f>
        <v/>
      </c>
    </row>
    <row r="8">
      <c r="A8" s="17" t="inlineStr"/>
      <c r="B8" s="17" t="inlineStr">
        <is>
          <t>Fourniture, pose et raccordement répartiteur informatique principal dans poste énergie Hub 2, incluant switch PoE</t>
        </is>
      </c>
      <c r="C8" s="17" t="inlineStr">
        <is>
          <t>Ens</t>
        </is>
      </c>
      <c r="D8" s="17" t="n">
        <v>1</v>
      </c>
      <c r="E8" s="18">
        <f>'Détail chiffrage'!O3</f>
        <v/>
      </c>
      <c r="F8" s="18">
        <f>D8*E8</f>
        <v/>
      </c>
      <c r="G8" s="17">
        <f>'Détail chiffrage'!R3</f>
        <v/>
      </c>
    </row>
    <row r="9">
      <c r="A9" s="17" t="inlineStr"/>
      <c r="B9" s="17" t="inlineStr">
        <is>
          <t>Fourniture, pose et raccordement répartiteur informatique secondaire Est 1 incluant switch PoE</t>
        </is>
      </c>
      <c r="C9" s="17" t="inlineStr">
        <is>
          <t>Ens</t>
        </is>
      </c>
      <c r="D9" s="17" t="n">
        <v>1</v>
      </c>
      <c r="E9" s="18">
        <f>'Détail chiffrage'!O4</f>
        <v/>
      </c>
      <c r="F9" s="18">
        <f>D9*E9</f>
        <v/>
      </c>
      <c r="G9" s="17">
        <f>'Détail chiffrage'!R4</f>
        <v/>
      </c>
    </row>
    <row r="10">
      <c r="A10" s="17" t="inlineStr"/>
      <c r="B10" s="17" t="inlineStr">
        <is>
          <t>Fourniture, pose et raccordement répartiteur informatique secondaire Est 2 incluant switch PoE</t>
        </is>
      </c>
      <c r="C10" s="17" t="inlineStr">
        <is>
          <t>Ens</t>
        </is>
      </c>
      <c r="D10" s="17" t="n">
        <v>1</v>
      </c>
      <c r="E10" s="18">
        <f>'Détail chiffrage'!O5</f>
        <v/>
      </c>
      <c r="F10" s="18">
        <f>D10*E10</f>
        <v/>
      </c>
      <c r="G10" s="17">
        <f>'Détail chiffrage'!R5</f>
        <v/>
      </c>
    </row>
    <row r="11">
      <c r="A11" s="17" t="inlineStr"/>
      <c r="B11" s="17" t="inlineStr">
        <is>
          <t>Fourniture, pose et raccordement répartiteur informatique secondaire Est 3 incluant switch PoE</t>
        </is>
      </c>
      <c r="C11" s="17" t="inlineStr">
        <is>
          <t>Ens</t>
        </is>
      </c>
      <c r="D11" s="17" t="n">
        <v>1</v>
      </c>
      <c r="E11" s="18">
        <f>'Détail chiffrage'!O6</f>
        <v/>
      </c>
      <c r="F11" s="18">
        <f>D11*E11</f>
        <v/>
      </c>
      <c r="G11" s="17">
        <f>'Détail chiffrage'!R6</f>
        <v/>
      </c>
    </row>
    <row r="12">
      <c r="A12" s="17" t="inlineStr"/>
      <c r="B12" s="17" t="inlineStr">
        <is>
          <t>Fourniture, pose et raccordement répartiteur informatique secondaire Ouest 1 incluant switch PoE</t>
        </is>
      </c>
      <c r="C12" s="17" t="inlineStr">
        <is>
          <t>Ens</t>
        </is>
      </c>
      <c r="D12" s="17" t="n">
        <v>1</v>
      </c>
      <c r="E12" s="18">
        <f>'Détail chiffrage'!O7</f>
        <v/>
      </c>
      <c r="F12" s="18">
        <f>D12*E12</f>
        <v/>
      </c>
      <c r="G12" s="17">
        <f>'Détail chiffrage'!R7</f>
        <v/>
      </c>
    </row>
    <row r="13">
      <c r="A13" s="17" t="inlineStr"/>
      <c r="B13" s="17" t="inlineStr">
        <is>
          <t>Fourniture, pose et raccordement répartiteur informatique secondaire Ouest 2 incluant switch PoE</t>
        </is>
      </c>
      <c r="C13" s="17" t="inlineStr">
        <is>
          <t>Ens</t>
        </is>
      </c>
      <c r="D13" s="17" t="n">
        <v>1</v>
      </c>
      <c r="E13" s="18">
        <f>'Détail chiffrage'!O8</f>
        <v/>
      </c>
      <c r="F13" s="18">
        <f>D13*E13</f>
        <v/>
      </c>
      <c r="G13" s="17">
        <f>'Détail chiffrage'!R8</f>
        <v/>
      </c>
    </row>
    <row r="14">
      <c r="A14" s="17" t="inlineStr"/>
      <c r="B14" s="17" t="inlineStr">
        <is>
          <t>Fourniture, pose et raccordement boucle fibre OS2 12 brins autocicatrisante depuis le répartiteur principal poste énergie Hub 1 vers répartiteurs secondaires Est 1, Est 2, Ouest 1, Ouest 2 et Ouest 3</t>
        </is>
      </c>
      <c r="C14" s="17" t="inlineStr">
        <is>
          <t>Ens</t>
        </is>
      </c>
      <c r="D14" s="17" t="n">
        <v>1</v>
      </c>
      <c r="E14" s="18">
        <f>'Détail chiffrage'!O9</f>
        <v/>
      </c>
      <c r="F14" s="18">
        <f>D14*E14</f>
        <v/>
      </c>
      <c r="G14" s="17">
        <f>'Détail chiffrage'!R9</f>
        <v/>
      </c>
    </row>
    <row r="15">
      <c r="A15" s="17" t="inlineStr"/>
      <c r="B15" s="17" t="inlineStr">
        <is>
          <t>Fourniture, pose et raccordement liaison fibre OS2 12 brins autocicatrisante depuis le répartiteur principal poste énergie Hub 1 vers le répartiteur princiapl Hub 2</t>
        </is>
      </c>
      <c r="C15" s="17" t="inlineStr">
        <is>
          <t>Ens</t>
        </is>
      </c>
      <c r="D15" s="17" t="n">
        <v>1</v>
      </c>
      <c r="E15" s="18">
        <f>'Détail chiffrage'!O10</f>
        <v/>
      </c>
      <c r="F15" s="18">
        <f>D15*E15</f>
        <v/>
      </c>
      <c r="G15" s="17">
        <f>'Détail chiffrage'!R10</f>
        <v/>
      </c>
    </row>
    <row r="16">
      <c r="A16" s="17" t="inlineStr"/>
      <c r="B16" s="17" t="inlineStr">
        <is>
          <t>Paramétrage équipements informatiques</t>
        </is>
      </c>
      <c r="C16" s="17" t="inlineStr">
        <is>
          <t>Ens</t>
        </is>
      </c>
      <c r="D16" s="17" t="n">
        <v>1</v>
      </c>
      <c r="E16" s="18">
        <f>'Détail chiffrage'!O11</f>
        <v/>
      </c>
      <c r="F16" s="18">
        <f>D16*E16</f>
        <v/>
      </c>
      <c r="G16" s="17">
        <f>'Détail chiffrage'!R11</f>
        <v/>
      </c>
    </row>
    <row r="17">
      <c r="A17" s="17" t="inlineStr"/>
      <c r="B17" s="17" t="inlineStr">
        <is>
          <t>Test de réfléctométrie</t>
        </is>
      </c>
      <c r="C17" s="17" t="inlineStr">
        <is>
          <t>Ens</t>
        </is>
      </c>
      <c r="D17" s="17" t="n">
        <v>1</v>
      </c>
      <c r="E17" s="18">
        <f>'Détail chiffrage'!O12</f>
        <v/>
      </c>
      <c r="F17" s="18">
        <f>D17*E17</f>
        <v/>
      </c>
      <c r="G17" s="17">
        <f>'Détail chiffrage'!R12</f>
        <v/>
      </c>
    </row>
    <row r="18">
      <c r="A18" s="14" t="inlineStr"/>
      <c r="B18" s="15" t="inlineStr">
        <is>
          <t>Informatique îlots 1 et 2</t>
        </is>
      </c>
      <c r="C18" s="14" t="inlineStr"/>
      <c r="D18" s="14" t="inlineStr"/>
      <c r="E18" s="16" t="inlineStr"/>
      <c r="F18" s="16" t="inlineStr"/>
      <c r="G18" s="14" t="inlineStr"/>
    </row>
    <row r="19">
      <c r="A19" s="17" t="inlineStr"/>
      <c r="B19" s="17" t="inlineStr">
        <is>
          <t>Fourniture, pose et raccordement liaison cuivre répartiteur informatique principal vers équipements (postes de travail CAD + bornes WiFi), 12 prises RJ45 par îlot, soit 24 prises RJ45 au total</t>
        </is>
      </c>
      <c r="C19" s="17" t="inlineStr">
        <is>
          <t>Ens</t>
        </is>
      </c>
      <c r="D19" s="17" t="n">
        <v>1</v>
      </c>
      <c r="E19" s="18">
        <f>'Détail chiffrage'!O13</f>
        <v/>
      </c>
      <c r="F19" s="18">
        <f>D19*E19</f>
        <v/>
      </c>
      <c r="G19" s="17">
        <f>'Détail chiffrage'!R13</f>
        <v/>
      </c>
    </row>
    <row r="20">
      <c r="A20" s="17" t="inlineStr"/>
      <c r="B20" s="17" t="inlineStr">
        <is>
          <t>Pose et raccordement borne WiFi</t>
        </is>
      </c>
      <c r="C20" s="17" t="inlineStr">
        <is>
          <t>U</t>
        </is>
      </c>
      <c r="D20" s="17" t="n">
        <v>4</v>
      </c>
      <c r="E20" s="18">
        <f>'Détail chiffrage'!O14</f>
        <v/>
      </c>
      <c r="F20" s="18">
        <f>D20*E20</f>
        <v/>
      </c>
      <c r="G20" s="17">
        <f>'Détail chiffrage'!R14</f>
        <v/>
      </c>
    </row>
    <row r="21">
      <c r="A21" s="17" t="inlineStr"/>
      <c r="B21" s="17" t="inlineStr">
        <is>
          <t>Fourniture, pose et raccordement équipements audiovisuel salle de réunion (Un écran 85" par salle de réunion, avec enceinte caméra combinée + kit 5x micros déportés connectés)</t>
        </is>
      </c>
      <c r="C21" s="17" t="inlineStr">
        <is>
          <t>U</t>
        </is>
      </c>
      <c r="D21" s="17" t="n">
        <v>3</v>
      </c>
      <c r="E21" s="18">
        <f>'Détail chiffrage'!O15</f>
        <v/>
      </c>
      <c r="F21" s="18">
        <f>D21*E21</f>
        <v/>
      </c>
      <c r="G21" s="17">
        <f>'Détail chiffrage'!R15</f>
        <v/>
      </c>
    </row>
    <row r="22">
      <c r="A22" s="17" t="inlineStr"/>
      <c r="B22" s="17" t="inlineStr">
        <is>
          <t>Recettage cuivre</t>
        </is>
      </c>
      <c r="C22" s="17" t="inlineStr">
        <is>
          <t>Ens</t>
        </is>
      </c>
      <c r="D22" s="17" t="n">
        <v>1</v>
      </c>
      <c r="E22" s="18">
        <f>'Détail chiffrage'!O16</f>
        <v/>
      </c>
      <c r="F22" s="18">
        <f>D22*E22</f>
        <v/>
      </c>
      <c r="G22" s="17">
        <f>'Détail chiffrage'!R16</f>
        <v/>
      </c>
    </row>
    <row r="23">
      <c r="A23" s="14" t="inlineStr">
        <is>
          <t>4.1</t>
        </is>
      </c>
      <c r="B23" s="15" t="inlineStr">
        <is>
          <t>Phase 3 (5 mois)</t>
        </is>
      </c>
      <c r="C23" s="14" t="inlineStr"/>
      <c r="D23" s="14" t="inlineStr"/>
      <c r="E23" s="16" t="inlineStr"/>
      <c r="F23" s="16" t="inlineStr"/>
      <c r="G23" s="14" t="inlineStr"/>
    </row>
    <row r="24">
      <c r="A24" s="14" t="inlineStr"/>
      <c r="B24" s="15" t="inlineStr">
        <is>
          <t>Informatique cœur de réseau</t>
        </is>
      </c>
      <c r="C24" s="14" t="inlineStr"/>
      <c r="D24" s="14" t="inlineStr"/>
      <c r="E24" s="16" t="inlineStr"/>
      <c r="F24" s="16" t="inlineStr"/>
      <c r="G24" s="14" t="inlineStr"/>
    </row>
    <row r="25">
      <c r="A25" s="17" t="inlineStr"/>
      <c r="B25" s="17" t="inlineStr">
        <is>
          <t>Sans objet</t>
        </is>
      </c>
      <c r="C25" s="17" t="inlineStr">
        <is>
          <t>Ens</t>
        </is>
      </c>
      <c r="D25" s="17" t="n">
        <v>1</v>
      </c>
      <c r="E25" s="18">
        <f>'Détail chiffrage'!O17</f>
        <v/>
      </c>
      <c r="F25" s="18">
        <f>D25*E25</f>
        <v/>
      </c>
      <c r="G25" s="17">
        <f>'Détail chiffrage'!R17</f>
        <v/>
      </c>
    </row>
    <row r="26">
      <c r="A26" s="14" t="inlineStr"/>
      <c r="B26" s="15" t="inlineStr">
        <is>
          <t>Informatique îlots 3 à 10</t>
        </is>
      </c>
      <c r="C26" s="14" t="inlineStr"/>
      <c r="D26" s="14" t="inlineStr"/>
      <c r="E26" s="16" t="inlineStr"/>
      <c r="F26" s="16" t="inlineStr"/>
      <c r="G26" s="14" t="inlineStr"/>
    </row>
    <row r="27">
      <c r="A27" s="17" t="inlineStr"/>
      <c r="B27" s="17" t="inlineStr">
        <is>
          <t>Fourniture, pose et raccordement liaisons cuivre répartiteur informatique principal vers équipements (postes de travail CAD + bornes WiFi), 12 prises RJ45 par îlot, soit 96 prises RJ45 au total</t>
        </is>
      </c>
      <c r="C27" s="17" t="inlineStr">
        <is>
          <t>Ens</t>
        </is>
      </c>
      <c r="D27" s="17" t="n">
        <v>1</v>
      </c>
      <c r="E27" s="18">
        <f>'Détail chiffrage'!O18</f>
        <v/>
      </c>
      <c r="F27" s="18">
        <f>D27*E27</f>
        <v/>
      </c>
      <c r="G27" s="17">
        <f>'Détail chiffrage'!R18</f>
        <v/>
      </c>
    </row>
    <row r="28">
      <c r="A28" s="17" t="inlineStr"/>
      <c r="B28" s="17" t="inlineStr">
        <is>
          <t>Fourniture, pose et raccordement borne WiFi</t>
        </is>
      </c>
      <c r="C28" s="17" t="inlineStr">
        <is>
          <t>U</t>
        </is>
      </c>
      <c r="D28" s="17" t="n">
        <v>20</v>
      </c>
      <c r="E28" s="18">
        <f>'Détail chiffrage'!O19</f>
        <v/>
      </c>
      <c r="F28" s="18">
        <f>D28*E28</f>
        <v/>
      </c>
      <c r="G28" s="17">
        <f>'Détail chiffrage'!R19</f>
        <v/>
      </c>
    </row>
    <row r="29">
      <c r="A29" s="17" t="inlineStr"/>
      <c r="B29" s="17" t="inlineStr">
        <is>
          <t>Fourniture, pose et raccordement équipements audiovisuel salle de réunion (Un écran 85" par salle de réunion, avec enceinte caméra combinée + kit 5x micros déportés connectés)</t>
        </is>
      </c>
      <c r="C29" s="17" t="inlineStr">
        <is>
          <t>U</t>
        </is>
      </c>
      <c r="D29" s="17" t="n">
        <v>7</v>
      </c>
      <c r="E29" s="18">
        <f>'Détail chiffrage'!O20</f>
        <v/>
      </c>
      <c r="F29" s="18">
        <f>D29*E29</f>
        <v/>
      </c>
      <c r="G29" s="17">
        <f>'Détail chiffrage'!R20</f>
        <v/>
      </c>
    </row>
    <row r="30">
      <c r="A30" s="17" t="inlineStr"/>
      <c r="B30" s="17" t="inlineStr">
        <is>
          <t>Recettage cuivre</t>
        </is>
      </c>
      <c r="C30" s="17" t="inlineStr">
        <is>
          <t>Ens</t>
        </is>
      </c>
      <c r="D30" s="17" t="n">
        <v>1</v>
      </c>
      <c r="E30" s="18">
        <f>'Détail chiffrage'!O21</f>
        <v/>
      </c>
      <c r="F30" s="18">
        <f>D30*E30</f>
        <v/>
      </c>
      <c r="G30" s="17">
        <f>'Détail chiffrage'!R21</f>
        <v/>
      </c>
    </row>
    <row r="31">
      <c r="A31" s="14" t="inlineStr"/>
      <c r="B31" s="15" t="inlineStr">
        <is>
          <t>Informatique chantier</t>
        </is>
      </c>
      <c r="C31" s="14" t="inlineStr"/>
      <c r="D31" s="14" t="inlineStr"/>
      <c r="E31" s="16" t="inlineStr"/>
      <c r="F31" s="16" t="inlineStr"/>
      <c r="G31" s="14" t="inlineStr"/>
    </row>
    <row r="32">
      <c r="A32" s="17" t="inlineStr"/>
      <c r="B32" s="17" t="inlineStr">
        <is>
          <t>Fourniture, pose et raccordement répartiteur secondaire bâtiments annexes</t>
        </is>
      </c>
      <c r="C32" s="17" t="inlineStr">
        <is>
          <t>U</t>
        </is>
      </c>
      <c r="D32" s="17" t="n">
        <v>2</v>
      </c>
      <c r="E32" s="18">
        <f>'Détail chiffrage'!O22</f>
        <v/>
      </c>
      <c r="F32" s="18">
        <f>D32*E32</f>
        <v/>
      </c>
      <c r="G32" s="17">
        <f>'Détail chiffrage'!R22</f>
        <v/>
      </c>
    </row>
    <row r="33">
      <c r="A33" s="17" t="inlineStr"/>
      <c r="B33" s="17" t="inlineStr">
        <is>
          <t>Fourniture, pose et raccordement liaisons RJ45 CAT6A F/STP bâtiments techniques &amp; extérieurs</t>
        </is>
      </c>
      <c r="C33" s="17" t="inlineStr">
        <is>
          <t>U</t>
        </is>
      </c>
      <c r="D33" s="17" t="n">
        <v>30</v>
      </c>
      <c r="E33" s="18">
        <f>'Détail chiffrage'!O23</f>
        <v/>
      </c>
      <c r="F33" s="18">
        <f>D33*E33</f>
        <v/>
      </c>
      <c r="G33" s="17">
        <f>'Détail chiffrage'!R23</f>
        <v/>
      </c>
    </row>
    <row r="34">
      <c r="A34" s="17" t="inlineStr"/>
      <c r="B34" s="17" t="inlineStr">
        <is>
          <t>Recettage cuivre</t>
        </is>
      </c>
      <c r="C34" s="17" t="inlineStr">
        <is>
          <t>Ens</t>
        </is>
      </c>
      <c r="D34" s="17" t="n">
        <v>1</v>
      </c>
      <c r="E34" s="18">
        <f>'Détail chiffrage'!O24</f>
        <v/>
      </c>
      <c r="F34" s="18">
        <f>D34*E34</f>
        <v/>
      </c>
      <c r="G34" s="17">
        <f>'Détail chiffrage'!R24</f>
        <v/>
      </c>
    </row>
    <row r="35">
      <c r="A35" s="14" t="inlineStr"/>
      <c r="B35" s="15" t="inlineStr">
        <is>
          <t>Afficheurs chantier</t>
        </is>
      </c>
      <c r="C35" s="14" t="inlineStr"/>
      <c r="D35" s="14" t="inlineStr"/>
      <c r="E35" s="16" t="inlineStr"/>
      <c r="F35" s="16" t="inlineStr"/>
      <c r="G35" s="14" t="inlineStr"/>
    </row>
    <row r="36">
      <c r="A36" s="17" t="inlineStr"/>
      <c r="B36" s="17" t="inlineStr">
        <is>
          <t>Fourniture, pose et raccordement afficheurs chantier extérieur + Support</t>
        </is>
      </c>
      <c r="C36" s="17" t="inlineStr">
        <is>
          <t>U</t>
        </is>
      </c>
      <c r="D36" s="17" t="n">
        <v>6</v>
      </c>
      <c r="E36" s="18">
        <f>'Détail chiffrage'!O25</f>
        <v/>
      </c>
      <c r="F36" s="18">
        <f>D36*E36</f>
        <v/>
      </c>
      <c r="G36" s="17">
        <f>'Détail chiffrage'!R25</f>
        <v/>
      </c>
    </row>
    <row r="37">
      <c r="A37" s="17" t="inlineStr"/>
      <c r="B37" s="17" t="inlineStr">
        <is>
          <t>Paramétrage</t>
        </is>
      </c>
      <c r="C37" s="17" t="inlineStr">
        <is>
          <t>Ens</t>
        </is>
      </c>
      <c r="D37" s="17" t="n">
        <v>1</v>
      </c>
      <c r="E37" s="18">
        <f>'Détail chiffrage'!O26</f>
        <v/>
      </c>
      <c r="F37" s="18">
        <f>D37*E37</f>
        <v/>
      </c>
      <c r="G37" s="17">
        <f>'Détail chiffrage'!R26</f>
        <v/>
      </c>
    </row>
    <row r="38">
      <c r="A38" s="14" t="inlineStr">
        <is>
          <t>4.1</t>
        </is>
      </c>
      <c r="B38" s="15" t="inlineStr">
        <is>
          <t>Phase 4 (17 mois)</t>
        </is>
      </c>
      <c r="C38" s="14" t="inlineStr"/>
      <c r="D38" s="14" t="inlineStr"/>
      <c r="E38" s="16" t="inlineStr"/>
      <c r="F38" s="16" t="inlineStr"/>
      <c r="G38" s="14" t="inlineStr"/>
    </row>
    <row r="39">
      <c r="A39" s="14" t="inlineStr"/>
      <c r="B39" s="15" t="inlineStr">
        <is>
          <t>Informatique cœur de réseau</t>
        </is>
      </c>
      <c r="C39" s="14" t="inlineStr"/>
      <c r="D39" s="14" t="inlineStr"/>
      <c r="E39" s="16" t="inlineStr"/>
      <c r="F39" s="16" t="inlineStr"/>
      <c r="G39" s="14" t="inlineStr"/>
    </row>
    <row r="40">
      <c r="A40" s="17" t="inlineStr"/>
      <c r="B40" s="17" t="inlineStr">
        <is>
          <t>Fourniture, pose et raccordement répartiteur informatique principal dans poste énergie Hub 3, incluant switch PoE</t>
        </is>
      </c>
      <c r="C40" s="17" t="inlineStr">
        <is>
          <t>Ens</t>
        </is>
      </c>
      <c r="D40" s="17" t="n">
        <v>1</v>
      </c>
      <c r="E40" s="18">
        <f>'Détail chiffrage'!O27</f>
        <v/>
      </c>
      <c r="F40" s="18">
        <f>D40*E40</f>
        <v/>
      </c>
      <c r="G40" s="17">
        <f>'Détail chiffrage'!R27</f>
        <v/>
      </c>
    </row>
    <row r="41">
      <c r="A41" s="17" t="inlineStr"/>
      <c r="B41" s="17" t="inlineStr">
        <is>
          <t>Fourniture, pose et raccordement fibre OS2 12 brins depuis répartiteur principal poste énergie Hub 1 vers répartiteur principal poste énergie Hub 3</t>
        </is>
      </c>
      <c r="C41" s="17" t="inlineStr">
        <is>
          <t>Ens</t>
        </is>
      </c>
      <c r="D41" s="17" t="n">
        <v>1</v>
      </c>
      <c r="E41" s="18">
        <f>'Détail chiffrage'!O28</f>
        <v/>
      </c>
      <c r="F41" s="18">
        <f>D41*E41</f>
        <v/>
      </c>
      <c r="G41" s="17">
        <f>'Détail chiffrage'!R28</f>
        <v/>
      </c>
    </row>
    <row r="42">
      <c r="A42" s="17" t="inlineStr"/>
      <c r="B42" s="17" t="inlineStr">
        <is>
          <t>Fourniture, pose et raccordement fibre OS2 12 brins depuis répartiteur principal poste énergie Hub 3 vers répartiteurs secondaires A (Ilots 1 à 10)</t>
        </is>
      </c>
      <c r="C42" s="17" t="inlineStr">
        <is>
          <t>Ens</t>
        </is>
      </c>
      <c r="D42" s="17" t="n">
        <v>1</v>
      </c>
      <c r="E42" s="18">
        <f>'Détail chiffrage'!O29</f>
        <v/>
      </c>
      <c r="F42" s="18">
        <f>D42*E42</f>
        <v/>
      </c>
      <c r="G42" s="17">
        <f>'Détail chiffrage'!R29</f>
        <v/>
      </c>
    </row>
    <row r="43">
      <c r="A43" s="17" t="inlineStr"/>
      <c r="B43" s="17" t="inlineStr">
        <is>
          <t>Fourniture, pose et raccordement fibre OS2 12 brins depuis répartiteur principal poste énergie Hub 3 vers répartiteurs secondaires B (Ilots 11 à 20)</t>
        </is>
      </c>
      <c r="C43" s="17" t="inlineStr">
        <is>
          <t>Ens</t>
        </is>
      </c>
      <c r="D43" s="17" t="n">
        <v>1</v>
      </c>
      <c r="E43" s="18">
        <f>'Détail chiffrage'!O30</f>
        <v/>
      </c>
      <c r="F43" s="18">
        <f>D43*E43</f>
        <v/>
      </c>
      <c r="G43" s="17">
        <f>'Détail chiffrage'!R30</f>
        <v/>
      </c>
    </row>
    <row r="44">
      <c r="A44" s="17" t="inlineStr"/>
      <c r="B44" s="17" t="inlineStr">
        <is>
          <t>Paramétrage équipements informatiques</t>
        </is>
      </c>
      <c r="C44" s="17" t="inlineStr">
        <is>
          <t>Ens</t>
        </is>
      </c>
      <c r="D44" s="17" t="n">
        <v>1</v>
      </c>
      <c r="E44" s="18">
        <f>'Détail chiffrage'!O31</f>
        <v/>
      </c>
      <c r="F44" s="18">
        <f>D44*E44</f>
        <v/>
      </c>
      <c r="G44" s="17">
        <f>'Détail chiffrage'!R31</f>
        <v/>
      </c>
    </row>
    <row r="45">
      <c r="A45" s="17" t="inlineStr"/>
      <c r="B45" s="17" t="inlineStr">
        <is>
          <t>Test de réfléctométrie</t>
        </is>
      </c>
      <c r="C45" s="17" t="inlineStr">
        <is>
          <t>Ens</t>
        </is>
      </c>
      <c r="D45" s="17" t="n">
        <v>1</v>
      </c>
      <c r="E45" s="18">
        <f>'Détail chiffrage'!O32</f>
        <v/>
      </c>
      <c r="F45" s="18">
        <f>D45*E45</f>
        <v/>
      </c>
      <c r="G45" s="17">
        <f>'Détail chiffrage'!R32</f>
        <v/>
      </c>
    </row>
    <row r="46">
      <c r="A46" s="14" t="inlineStr"/>
      <c r="B46" s="15" t="inlineStr">
        <is>
          <t>Informatique îlots 1 à 20</t>
        </is>
      </c>
      <c r="C46" s="14" t="inlineStr"/>
      <c r="D46" s="14" t="inlineStr"/>
      <c r="E46" s="16" t="inlineStr"/>
      <c r="F46" s="16" t="inlineStr"/>
      <c r="G46" s="14" t="inlineStr"/>
    </row>
    <row r="47">
      <c r="A47" s="17" t="inlineStr"/>
      <c r="B47" s="17" t="inlineStr">
        <is>
          <t>Fourniture, pose et raccordement répartiteur informatique secondaires base vie phase 4, incluant switch PoE</t>
        </is>
      </c>
      <c r="C47" s="17" t="inlineStr">
        <is>
          <t>U</t>
        </is>
      </c>
      <c r="D47" s="17" t="n">
        <v>2</v>
      </c>
      <c r="E47" s="18">
        <f>'Détail chiffrage'!O33</f>
        <v/>
      </c>
      <c r="F47" s="18">
        <f>D47*E47</f>
        <v/>
      </c>
      <c r="G47" s="17">
        <f>'Détail chiffrage'!R33</f>
        <v/>
      </c>
    </row>
    <row r="48">
      <c r="A48" s="17" t="inlineStr"/>
      <c r="B48" s="17" t="inlineStr">
        <is>
          <t>Fourniture, pose et raccordement liaisons RJ45 CAT6A F/STP répartiteur informatique secondaire vers équipements (postes de travail CAD + bornes WiFi), 18 prises RJ45 par îlot, soit 360 prises RJ45</t>
        </is>
      </c>
      <c r="C48" s="17" t="inlineStr">
        <is>
          <t>Ens</t>
        </is>
      </c>
      <c r="D48" s="17" t="n">
        <v>1</v>
      </c>
      <c r="E48" s="18">
        <f>'Détail chiffrage'!O34</f>
        <v/>
      </c>
      <c r="F48" s="18">
        <f>D48*E48</f>
        <v/>
      </c>
      <c r="G48" s="17">
        <f>'Détail chiffrage'!R34</f>
        <v/>
      </c>
    </row>
    <row r="49">
      <c r="A49" s="17" t="inlineStr"/>
      <c r="B49" s="17" t="inlineStr">
        <is>
          <t>Pose et raccordement borne WiFi</t>
        </is>
      </c>
      <c r="C49" s="17" t="inlineStr">
        <is>
          <t>U</t>
        </is>
      </c>
      <c r="D49" s="17" t="n">
        <v>60</v>
      </c>
      <c r="E49" s="18">
        <f>'Détail chiffrage'!O35</f>
        <v/>
      </c>
      <c r="F49" s="18">
        <f>D49*E49</f>
        <v/>
      </c>
      <c r="G49" s="17">
        <f>'Détail chiffrage'!R35</f>
        <v/>
      </c>
    </row>
    <row r="50">
      <c r="A50" s="17" t="inlineStr"/>
      <c r="B50" s="17" t="inlineStr">
        <is>
          <t>Recettage cuivre</t>
        </is>
      </c>
      <c r="C50" s="17" t="inlineStr">
        <is>
          <t>Ens</t>
        </is>
      </c>
      <c r="D50" s="17" t="n">
        <v>1</v>
      </c>
      <c r="E50" s="18">
        <f>'Détail chiffrage'!O36</f>
        <v/>
      </c>
      <c r="F50" s="18">
        <f>D50*E50</f>
        <v/>
      </c>
      <c r="G50" s="17">
        <f>'Détail chiffrage'!R36</f>
        <v/>
      </c>
    </row>
    <row r="51">
      <c r="A51" s="17" t="inlineStr"/>
      <c r="B51" s="19" t="inlineStr">
        <is>
          <t>TOTAL 4 - INFORMATIQUE &amp; AUDIOVISUEL &amp; AFFICHAGES LED</t>
        </is>
      </c>
      <c r="C51" s="17" t="inlineStr"/>
      <c r="D51" s="17" t="inlineStr"/>
      <c r="E51" s="18" t="inlineStr"/>
      <c r="F51" s="20">
        <f>SUM(F4:F50)</f>
        <v/>
      </c>
      <c r="G51" s="17" t="inlineStr"/>
    </row>
    <row r="52">
      <c r="A52" s="11" t="n"/>
      <c r="B52" s="12" t="n"/>
      <c r="C52" s="11" t="n"/>
      <c r="D52" s="11" t="n"/>
      <c r="E52" s="13" t="n"/>
      <c r="F52" s="13" t="n"/>
      <c r="G52" s="11" t="n"/>
    </row>
    <row r="53">
      <c r="A53" s="17" t="inlineStr">
        <is>
          <t>5</t>
        </is>
      </c>
      <c r="B53" s="17" t="inlineStr">
        <is>
          <t>SECURITE SSI</t>
        </is>
      </c>
      <c r="C53" s="17" t="n"/>
      <c r="D53" s="17" t="n"/>
      <c r="E53" s="18" t="n"/>
      <c r="F53" s="18" t="n"/>
      <c r="G53" s="17" t="n"/>
    </row>
    <row r="54">
      <c r="A54" s="14" t="inlineStr">
        <is>
          <t>5.1</t>
        </is>
      </c>
      <c r="B54" s="15" t="inlineStr">
        <is>
          <t>Phase 2 (2 mois)</t>
        </is>
      </c>
      <c r="C54" s="14" t="inlineStr"/>
      <c r="D54" s="14" t="inlineStr"/>
      <c r="E54" s="16" t="inlineStr"/>
      <c r="F54" s="16" t="inlineStr"/>
      <c r="G54" s="14" t="inlineStr"/>
    </row>
    <row r="55">
      <c r="A55" s="17" t="inlineStr"/>
      <c r="B55" s="17" t="inlineStr">
        <is>
          <t>Fourniture, pose et raccordement coffret report de contact SSI poste de garde principal</t>
        </is>
      </c>
      <c r="C55" s="17" t="inlineStr">
        <is>
          <t>Ens</t>
        </is>
      </c>
      <c r="D55" s="17" t="n">
        <v>1</v>
      </c>
      <c r="E55" s="18">
        <f>'Détail chiffrage'!O37</f>
        <v/>
      </c>
      <c r="F55" s="18">
        <f>D55*E55</f>
        <v/>
      </c>
      <c r="G55" s="17">
        <f>'Détail chiffrage'!R37</f>
        <v/>
      </c>
    </row>
    <row r="56">
      <c r="A56" s="17" t="inlineStr"/>
      <c r="B56" s="17" t="inlineStr">
        <is>
          <t>Fourniture, pose et raccordement liaisons coffret report de contact SSI vers alarmes BAAS SSI îlots 1 et 2, poste de garde, poste énergie Hub 1</t>
        </is>
      </c>
      <c r="C56" s="17" t="inlineStr">
        <is>
          <t>Ens</t>
        </is>
      </c>
      <c r="D56" s="17" t="n">
        <v>1</v>
      </c>
      <c r="E56" s="18">
        <f>'Détail chiffrage'!O38</f>
        <v/>
      </c>
      <c r="F56" s="18">
        <f>D56*E56</f>
        <v/>
      </c>
      <c r="G56" s="17">
        <f>'Détail chiffrage'!R38</f>
        <v/>
      </c>
    </row>
    <row r="57">
      <c r="A57" s="17" t="inlineStr"/>
      <c r="B57" s="17" t="inlineStr">
        <is>
          <t>Fourniture, pose et raccordement centrale type 3 SSI poste de garde, y compris déclencheurs manuels et sirenes</t>
        </is>
      </c>
      <c r="C57" s="17" t="inlineStr">
        <is>
          <t>Ens</t>
        </is>
      </c>
      <c r="D57" s="17" t="n">
        <v>1</v>
      </c>
      <c r="E57" s="18">
        <f>'Détail chiffrage'!O39</f>
        <v/>
      </c>
      <c r="F57" s="18">
        <f>D57*E57</f>
        <v/>
      </c>
      <c r="G57" s="17">
        <f>'Détail chiffrage'!R39</f>
        <v/>
      </c>
    </row>
    <row r="58">
      <c r="A58" s="17" t="inlineStr"/>
      <c r="B58" s="17" t="inlineStr">
        <is>
          <t>Fourniture, pose et raccordement centrale type 3 SSI Poste Energie Hub 1, y compris déclencheurs manuels et sirenes</t>
        </is>
      </c>
      <c r="C58" s="17" t="inlineStr">
        <is>
          <t>Ens</t>
        </is>
      </c>
      <c r="D58" s="17" t="n">
        <v>1</v>
      </c>
      <c r="E58" s="18">
        <f>'Détail chiffrage'!O40</f>
        <v/>
      </c>
      <c r="F58" s="18">
        <f>D58*E58</f>
        <v/>
      </c>
      <c r="G58" s="17">
        <f>'Détail chiffrage'!R40</f>
        <v/>
      </c>
    </row>
    <row r="59">
      <c r="A59" s="17" t="inlineStr"/>
      <c r="B59" s="17" t="inlineStr">
        <is>
          <t>Fourniture, pose et raccordement centrale type 3 SSI Poste Energie Hub 2, y compris déclencheurs manuels et sirenes</t>
        </is>
      </c>
      <c r="C59" s="17" t="inlineStr">
        <is>
          <t>Ens</t>
        </is>
      </c>
      <c r="D59" s="17" t="n">
        <v>1</v>
      </c>
      <c r="E59" s="18">
        <f>'Détail chiffrage'!O41</f>
        <v/>
      </c>
      <c r="F59" s="18">
        <f>D59*E59</f>
        <v/>
      </c>
      <c r="G59" s="17">
        <f>'Détail chiffrage'!R41</f>
        <v/>
      </c>
    </row>
    <row r="60">
      <c r="A60" s="14" t="inlineStr">
        <is>
          <t>Hors lot</t>
        </is>
      </c>
      <c r="B60" s="15" t="inlineStr">
        <is>
          <t>Fourniture, pose et raccordement centrale type 4 SSI Ilots 1 et 2, y compris déclencheurs manuels et sirenes</t>
        </is>
      </c>
      <c r="C60" s="14" t="inlineStr"/>
      <c r="D60" s="14" t="inlineStr"/>
      <c r="E60" s="16" t="inlineStr"/>
      <c r="F60" s="16" t="inlineStr"/>
      <c r="G60" s="14" t="inlineStr">
        <is>
          <t>Hors PROSYB</t>
        </is>
      </c>
    </row>
    <row r="61">
      <c r="A61" s="17" t="inlineStr"/>
      <c r="B61" s="17" t="inlineStr">
        <is>
          <t>Fourniture, pose et raccordement déclencheurs manuels chantier</t>
        </is>
      </c>
      <c r="C61" s="17" t="inlineStr">
        <is>
          <t>Ens</t>
        </is>
      </c>
      <c r="D61" s="17" t="n">
        <v>1</v>
      </c>
      <c r="E61" s="18">
        <f>'Détail chiffrage'!O42</f>
        <v/>
      </c>
      <c r="F61" s="18">
        <f>D61*E61</f>
        <v/>
      </c>
      <c r="G61" s="17">
        <f>'Détail chiffrage'!R42</f>
        <v/>
      </c>
    </row>
    <row r="62">
      <c r="A62" s="17" t="inlineStr"/>
      <c r="B62" s="17" t="inlineStr">
        <is>
          <t>Fourniture, pose et raccordement diffuseurs sonores chantier</t>
        </is>
      </c>
      <c r="C62" s="17" t="inlineStr">
        <is>
          <t>Ens</t>
        </is>
      </c>
      <c r="D62" s="17" t="n">
        <v>1</v>
      </c>
      <c r="E62" s="18">
        <f>'Détail chiffrage'!O43</f>
        <v/>
      </c>
      <c r="F62" s="18">
        <f>D62*E62</f>
        <v/>
      </c>
      <c r="G62" s="17">
        <f>'Détail chiffrage'!R43</f>
        <v/>
      </c>
    </row>
    <row r="63">
      <c r="A63" s="17" t="inlineStr"/>
      <c r="B63" s="17" t="inlineStr">
        <is>
          <t>Paramétrage et mise en service</t>
        </is>
      </c>
      <c r="C63" s="17" t="inlineStr">
        <is>
          <t>Ens</t>
        </is>
      </c>
      <c r="D63" s="17" t="n">
        <v>1</v>
      </c>
      <c r="E63" s="18">
        <f>'Détail chiffrage'!O44</f>
        <v/>
      </c>
      <c r="F63" s="18">
        <f>D63*E63</f>
        <v/>
      </c>
      <c r="G63" s="17">
        <f>'Détail chiffrage'!R44</f>
        <v/>
      </c>
    </row>
    <row r="64">
      <c r="A64" s="14" t="inlineStr">
        <is>
          <t>5.2</t>
        </is>
      </c>
      <c r="B64" s="15" t="inlineStr">
        <is>
          <t>Phase 3 (5 mois)</t>
        </is>
      </c>
      <c r="C64" s="14" t="inlineStr"/>
      <c r="D64" s="14" t="inlineStr"/>
      <c r="E64" s="16" t="inlineStr"/>
      <c r="F64" s="16" t="inlineStr"/>
      <c r="G64" s="14" t="inlineStr"/>
    </row>
    <row r="65">
      <c r="A65" s="17" t="inlineStr"/>
      <c r="B65" s="17" t="inlineStr">
        <is>
          <t>Fourniture, pose et raccordement liaisons coffret report de contact SSI vers centrales SSI îlots 3 à 10</t>
        </is>
      </c>
      <c r="C65" s="17" t="inlineStr">
        <is>
          <t>Ens</t>
        </is>
      </c>
      <c r="D65" s="17" t="n">
        <v>1</v>
      </c>
      <c r="E65" s="18">
        <f>'Détail chiffrage'!O45</f>
        <v/>
      </c>
      <c r="F65" s="18">
        <f>D65*E65</f>
        <v/>
      </c>
      <c r="G65" s="17">
        <f>'Détail chiffrage'!R45</f>
        <v/>
      </c>
    </row>
    <row r="66">
      <c r="A66" s="14" t="inlineStr">
        <is>
          <t>Hors lot</t>
        </is>
      </c>
      <c r="B66" s="15" t="inlineStr">
        <is>
          <t>Fourniture, pose et raccordement centrale type 4 SSI Ilots 3 à 10, y compris déclencheurs manuels et sirenes</t>
        </is>
      </c>
      <c r="C66" s="14" t="inlineStr"/>
      <c r="D66" s="14" t="inlineStr"/>
      <c r="E66" s="16" t="inlineStr"/>
      <c r="F66" s="16" t="inlineStr"/>
      <c r="G66" s="14" t="inlineStr">
        <is>
          <t>Hors PROSYB</t>
        </is>
      </c>
    </row>
    <row r="67">
      <c r="A67" s="17" t="inlineStr"/>
      <c r="B67" s="17" t="inlineStr">
        <is>
          <t>Paramétrage et mise en service</t>
        </is>
      </c>
      <c r="C67" s="17" t="inlineStr">
        <is>
          <t>Ens</t>
        </is>
      </c>
      <c r="D67" s="17" t="n">
        <v>1</v>
      </c>
      <c r="E67" s="18">
        <f>'Détail chiffrage'!O46</f>
        <v/>
      </c>
      <c r="F67" s="18">
        <f>D67*E67</f>
        <v/>
      </c>
      <c r="G67" s="17">
        <f>'Détail chiffrage'!R46</f>
        <v/>
      </c>
    </row>
    <row r="68">
      <c r="A68" s="14" t="inlineStr">
        <is>
          <t>5.3</t>
        </is>
      </c>
      <c r="B68" s="15" t="inlineStr">
        <is>
          <t>Phase 4 (17 mois)</t>
        </is>
      </c>
      <c r="C68" s="14" t="inlineStr"/>
      <c r="D68" s="14" t="inlineStr"/>
      <c r="E68" s="16" t="inlineStr"/>
      <c r="F68" s="16" t="inlineStr"/>
      <c r="G68" s="14" t="inlineStr"/>
    </row>
    <row r="69">
      <c r="A69" s="17" t="inlineStr"/>
      <c r="B69" s="17" t="inlineStr">
        <is>
          <t>Fourniture, pose et raccordement centrale type 3 SSI Poste Energie Hub 3, y compris déclencheurs manuels et sirenes</t>
        </is>
      </c>
      <c r="C69" s="17" t="inlineStr">
        <is>
          <t>Ens</t>
        </is>
      </c>
      <c r="D69" s="17" t="n">
        <v>1</v>
      </c>
      <c r="E69" s="18">
        <f>'Détail chiffrage'!O47</f>
        <v/>
      </c>
      <c r="F69" s="18">
        <f>D69*E69</f>
        <v/>
      </c>
      <c r="G69" s="17">
        <f>'Détail chiffrage'!R47</f>
        <v/>
      </c>
    </row>
    <row r="70">
      <c r="A70" s="17" t="inlineStr"/>
      <c r="B70" s="17" t="inlineStr">
        <is>
          <t>Fourniture, pose et raccordement liaisons coffret report de contact SSI vers alarmes Type 3 SSI îlots 1 à 20, poste énergie Hub 3</t>
        </is>
      </c>
      <c r="C70" s="17" t="inlineStr">
        <is>
          <t>Ens</t>
        </is>
      </c>
      <c r="D70" s="17" t="n">
        <v>1</v>
      </c>
      <c r="E70" s="18">
        <f>'Détail chiffrage'!O48</f>
        <v/>
      </c>
      <c r="F70" s="18">
        <f>D70*E70</f>
        <v/>
      </c>
      <c r="G70" s="17">
        <f>'Détail chiffrage'!R48</f>
        <v/>
      </c>
    </row>
    <row r="71">
      <c r="A71" s="14" t="inlineStr">
        <is>
          <t>Hors lot</t>
        </is>
      </c>
      <c r="B71" s="15" t="inlineStr">
        <is>
          <t>Fourniture, pose et raccordement centrale type 3 SSI Ilots 1 à 20, y compris déclencheurs manuels et sirenes</t>
        </is>
      </c>
      <c r="C71" s="14" t="inlineStr"/>
      <c r="D71" s="14" t="inlineStr"/>
      <c r="E71" s="16" t="inlineStr"/>
      <c r="F71" s="16" t="inlineStr"/>
      <c r="G71" s="14" t="inlineStr">
        <is>
          <t>Hors PROSYB</t>
        </is>
      </c>
    </row>
    <row r="72">
      <c r="A72" s="17" t="inlineStr"/>
      <c r="B72" s="17" t="inlineStr">
        <is>
          <t>Paramétrage et mise en service</t>
        </is>
      </c>
      <c r="C72" s="17" t="inlineStr">
        <is>
          <t>Ens</t>
        </is>
      </c>
      <c r="D72" s="17" t="n">
        <v>1</v>
      </c>
      <c r="E72" s="18">
        <f>'Détail chiffrage'!O49</f>
        <v/>
      </c>
      <c r="F72" s="18">
        <f>D72*E72</f>
        <v/>
      </c>
      <c r="G72" s="17">
        <f>'Détail chiffrage'!R49</f>
        <v/>
      </c>
    </row>
    <row r="73">
      <c r="A73" s="17" t="inlineStr"/>
      <c r="B73" s="19" t="inlineStr">
        <is>
          <t>TOTAL 5 - SECURITE SSI</t>
        </is>
      </c>
      <c r="C73" s="17" t="inlineStr"/>
      <c r="D73" s="17" t="inlineStr"/>
      <c r="E73" s="18" t="inlineStr"/>
      <c r="F73" s="20">
        <f>SUM(F52:F72)</f>
        <v/>
      </c>
      <c r="G73" s="17" t="inlineStr"/>
    </row>
    <row r="74">
      <c r="A74" s="11" t="n"/>
      <c r="B74" s="12" t="n"/>
      <c r="C74" s="11" t="n"/>
      <c r="D74" s="11" t="n"/>
      <c r="E74" s="13" t="n"/>
      <c r="F74" s="13" t="n"/>
      <c r="G74" s="11" t="n"/>
    </row>
    <row r="75">
      <c r="A75" s="17" t="inlineStr">
        <is>
          <t>6</t>
        </is>
      </c>
      <c r="B75" s="17" t="inlineStr">
        <is>
          <t>VIDEOSURVEILLANCE</t>
        </is>
      </c>
      <c r="C75" s="17" t="n"/>
      <c r="D75" s="17" t="n"/>
      <c r="E75" s="18" t="n"/>
      <c r="F75" s="18" t="n"/>
      <c r="G75" s="17" t="n"/>
    </row>
    <row r="76">
      <c r="A76" s="14" t="inlineStr">
        <is>
          <t>6.1</t>
        </is>
      </c>
      <c r="B76" s="15" t="inlineStr">
        <is>
          <t>Phase 3 (5 mois)</t>
        </is>
      </c>
      <c r="C76" s="14" t="inlineStr"/>
      <c r="D76" s="14" t="inlineStr"/>
      <c r="E76" s="16" t="inlineStr"/>
      <c r="F76" s="16" t="inlineStr"/>
      <c r="G76" s="14" t="inlineStr"/>
    </row>
    <row r="77">
      <c r="A77" s="17" t="inlineStr">
        <is>
          <t>LOT GC</t>
        </is>
      </c>
      <c r="B77" s="17" t="inlineStr">
        <is>
          <t>Réalisation massif support candélabres pour mât caméra</t>
        </is>
      </c>
      <c r="C77" s="17" t="inlineStr">
        <is>
          <t>U</t>
        </is>
      </c>
      <c r="D77" s="17" t="inlineStr">
        <is>
          <t>28</t>
        </is>
      </c>
      <c r="E77" s="18" t="inlineStr"/>
      <c r="F77" s="18" t="inlineStr"/>
      <c r="G77" s="17" t="inlineStr">
        <is>
          <t>Hors PROSYB</t>
        </is>
      </c>
    </row>
    <row r="78">
      <c r="A78" s="17" t="inlineStr"/>
      <c r="B78" s="17" t="inlineStr">
        <is>
          <t>Fourniture, pose et raccordement caméra fixe + mât (28 Caméras), avec maillage zone chantier + périphérie y compris intrusion marque HIKVISION</t>
        </is>
      </c>
      <c r="C78" s="17" t="inlineStr">
        <is>
          <t>U</t>
        </is>
      </c>
      <c r="D78" s="17" t="n">
        <v>28</v>
      </c>
      <c r="E78" s="18">
        <f>'Détail chiffrage'!O50</f>
        <v/>
      </c>
      <c r="F78" s="18">
        <f>D78*E78</f>
        <v/>
      </c>
      <c r="G78" s="17">
        <f>'Détail chiffrage'!R50</f>
        <v/>
      </c>
    </row>
    <row r="79">
      <c r="A79" s="17" t="inlineStr"/>
      <c r="B79" s="17" t="inlineStr">
        <is>
          <t>Fourniture, pose et raccordement liaison RJ45 CAT6A F/STP POE pour alimentation caméras</t>
        </is>
      </c>
      <c r="C79" s="17" t="inlineStr">
        <is>
          <t>Ens</t>
        </is>
      </c>
      <c r="D79" s="17" t="n">
        <v>1</v>
      </c>
      <c r="E79" s="18">
        <f>'Détail chiffrage'!O51</f>
        <v/>
      </c>
      <c r="F79" s="18">
        <f>D79*E79</f>
        <v/>
      </c>
      <c r="G79" s="17">
        <f>'Détail chiffrage'!R51</f>
        <v/>
      </c>
    </row>
    <row r="80">
      <c r="A80" s="17" t="inlineStr"/>
      <c r="B80" s="17" t="inlineStr">
        <is>
          <t>Enregistreur NVR marque HIKVISION</t>
        </is>
      </c>
      <c r="C80" s="17" t="inlineStr">
        <is>
          <t>Ens</t>
        </is>
      </c>
      <c r="D80" s="17" t="n">
        <v>1</v>
      </c>
      <c r="E80" s="18">
        <f>'Détail chiffrage'!O52</f>
        <v/>
      </c>
      <c r="F80" s="18">
        <f>D80*E80</f>
        <v/>
      </c>
      <c r="G80" s="17">
        <f>'Détail chiffrage'!R52</f>
        <v/>
      </c>
    </row>
    <row r="81">
      <c r="A81" s="17" t="inlineStr"/>
      <c r="B81" s="17" t="inlineStr">
        <is>
          <t>Paramétrage / Logiciel (analyse comportementale et port des EPI, intrusion périphérique)</t>
        </is>
      </c>
      <c r="C81" s="17" t="inlineStr">
        <is>
          <t>Ens</t>
        </is>
      </c>
      <c r="D81" s="17" t="n">
        <v>1</v>
      </c>
      <c r="E81" s="18">
        <f>'Détail chiffrage'!O53</f>
        <v/>
      </c>
      <c r="F81" s="18">
        <f>D81*E81</f>
        <v/>
      </c>
      <c r="G81" s="17">
        <f>'Détail chiffrage'!R53</f>
        <v/>
      </c>
    </row>
    <row r="82">
      <c r="A82" s="17" t="inlineStr"/>
      <c r="B82" s="17" t="inlineStr">
        <is>
          <t>Recettage cuivre</t>
        </is>
      </c>
      <c r="C82" s="17" t="inlineStr">
        <is>
          <t>Ens</t>
        </is>
      </c>
      <c r="D82" s="17" t="n">
        <v>1</v>
      </c>
      <c r="E82" s="18">
        <f>'Détail chiffrage'!O54</f>
        <v/>
      </c>
      <c r="F82" s="18">
        <f>D82*E82</f>
        <v/>
      </c>
      <c r="G82" s="17">
        <f>'Détail chiffrage'!R54</f>
        <v/>
      </c>
    </row>
    <row r="83">
      <c r="A83" s="17" t="inlineStr"/>
      <c r="B83" s="19" t="inlineStr">
        <is>
          <t>TOTAL 6 - VIDEOSURVEILLANCE</t>
        </is>
      </c>
      <c r="C83" s="17" t="inlineStr"/>
      <c r="D83" s="17" t="inlineStr"/>
      <c r="E83" s="18" t="inlineStr"/>
      <c r="F83" s="20">
        <f>SUM(F74:F82)</f>
        <v/>
      </c>
      <c r="G83" s="17" t="inlineStr"/>
    </row>
    <row r="84">
      <c r="A84" s="11" t="n"/>
      <c r="B84" s="12" t="n"/>
      <c r="C84" s="11" t="n"/>
      <c r="D84" s="11" t="n"/>
      <c r="E84" s="13" t="n"/>
      <c r="F84" s="13" t="n"/>
      <c r="G84" s="11" t="n"/>
    </row>
    <row r="85">
      <c r="A85" s="17" t="inlineStr">
        <is>
          <t>7</t>
        </is>
      </c>
      <c r="B85" s="17" t="inlineStr">
        <is>
          <t>GTB / GTE</t>
        </is>
      </c>
      <c r="C85" s="17" t="n"/>
      <c r="D85" s="17" t="n"/>
      <c r="E85" s="18" t="n"/>
      <c r="F85" s="18" t="n"/>
      <c r="G85" s="17" t="n"/>
    </row>
    <row r="86">
      <c r="A86" s="17" t="inlineStr"/>
      <c r="B86" s="17" t="inlineStr">
        <is>
          <t>Fourniture, pose et raccordement automate WAGO avec interface Ethernet modbus TCP/IP TGBT Hub 1, Hub 2 et Hub 3</t>
        </is>
      </c>
      <c r="C86" s="17" t="inlineStr">
        <is>
          <t>U</t>
        </is>
      </c>
      <c r="D86" s="17" t="n">
        <v>3</v>
      </c>
      <c r="E86" s="18">
        <f>'Détail chiffrage'!O55</f>
        <v/>
      </c>
      <c r="F86" s="18">
        <f>D86*E86</f>
        <v/>
      </c>
      <c r="G86" s="17">
        <f>'Détail chiffrage'!R55</f>
        <v/>
      </c>
    </row>
    <row r="87">
      <c r="A87" s="17" t="inlineStr"/>
      <c r="B87" s="17" t="inlineStr">
        <is>
          <t>Fourniture, pose et raccordement alimentation automate WAGO</t>
        </is>
      </c>
      <c r="C87" s="17" t="inlineStr">
        <is>
          <t>U</t>
        </is>
      </c>
      <c r="D87" s="17" t="n">
        <v>3</v>
      </c>
      <c r="E87" s="18">
        <f>'Détail chiffrage'!O56</f>
        <v/>
      </c>
      <c r="F87" s="18">
        <f>D87*E87</f>
        <v/>
      </c>
      <c r="G87" s="17">
        <f>'Détail chiffrage'!R56</f>
        <v/>
      </c>
    </row>
    <row r="88">
      <c r="A88" s="17" t="inlineStr"/>
      <c r="B88" s="17" t="inlineStr">
        <is>
          <t>Fourniture, pose et raccordement liaison WAGO vers switch GTB</t>
        </is>
      </c>
      <c r="C88" s="17" t="inlineStr">
        <is>
          <t>U</t>
        </is>
      </c>
      <c r="D88" s="17" t="n">
        <v>3</v>
      </c>
      <c r="E88" s="18">
        <f>'Détail chiffrage'!O57</f>
        <v/>
      </c>
      <c r="F88" s="18">
        <f>D88*E88</f>
        <v/>
      </c>
      <c r="G88" s="17">
        <f>'Détail chiffrage'!R57</f>
        <v/>
      </c>
    </row>
    <row r="89">
      <c r="A89" s="17" t="inlineStr"/>
      <c r="B89" s="17" t="inlineStr">
        <is>
          <t>Fourniture, pose et raccordement liaison interne contacts SD vers automate WAGO dans les TGBT Hub 1, Hub 2 et Hub 3</t>
        </is>
      </c>
      <c r="C89" s="17" t="inlineStr">
        <is>
          <t>U</t>
        </is>
      </c>
      <c r="D89" s="17" t="n">
        <v>3</v>
      </c>
      <c r="E89" s="18">
        <f>'Détail chiffrage'!O58</f>
        <v/>
      </c>
      <c r="F89" s="18">
        <f>D89*E89</f>
        <v/>
      </c>
      <c r="G89" s="17">
        <f>'Détail chiffrage'!R58</f>
        <v/>
      </c>
    </row>
    <row r="90">
      <c r="A90" s="17" t="inlineStr"/>
      <c r="B90" s="17" t="inlineStr">
        <is>
          <t>Fourniture, pose et raccordement liaison interne compteur d'énergie TGBT Hub 1, 2 et 3 vers automate WAGO</t>
        </is>
      </c>
      <c r="C90" s="17" t="inlineStr">
        <is>
          <t>U</t>
        </is>
      </c>
      <c r="D90" s="17" t="n">
        <v>3</v>
      </c>
      <c r="E90" s="18">
        <f>'Détail chiffrage'!O59</f>
        <v/>
      </c>
      <c r="F90" s="18">
        <f>D90*E90</f>
        <v/>
      </c>
      <c r="G90" s="17">
        <f>'Détail chiffrage'!R59</f>
        <v/>
      </c>
    </row>
    <row r="91">
      <c r="A91" s="17" t="inlineStr"/>
      <c r="B91" s="17" t="inlineStr">
        <is>
          <t>Fourniture, pose et raccordement ordinateur fixe avec 2 écrans au niveau du poste de garde</t>
        </is>
      </c>
      <c r="C91" s="17" t="inlineStr">
        <is>
          <t>U</t>
        </is>
      </c>
      <c r="D91" s="17" t="n">
        <v>1</v>
      </c>
      <c r="E91" s="18">
        <f>'Détail chiffrage'!O60</f>
        <v/>
      </c>
      <c r="F91" s="18">
        <f>D91*E91</f>
        <v/>
      </c>
      <c r="G91" s="17">
        <f>'Détail chiffrage'!R60</f>
        <v/>
      </c>
    </row>
    <row r="92">
      <c r="A92" s="17" t="inlineStr"/>
      <c r="B92" s="17" t="inlineStr">
        <is>
          <t>Paramétrage / Logiciel avec historisation (Licence, dashboards consos, alertes SMS/Mail)</t>
        </is>
      </c>
      <c r="C92" s="17" t="inlineStr">
        <is>
          <t>Ens</t>
        </is>
      </c>
      <c r="D92" s="17" t="n">
        <v>1</v>
      </c>
      <c r="E92" s="18">
        <f>'Détail chiffrage'!O61</f>
        <v/>
      </c>
      <c r="F92" s="18">
        <f>D92*E92</f>
        <v/>
      </c>
      <c r="G92" s="17">
        <f>'Détail chiffrage'!R61</f>
        <v/>
      </c>
    </row>
    <row r="93">
      <c r="A93" s="17" t="inlineStr"/>
      <c r="B93" s="19" t="inlineStr">
        <is>
          <t>TOTAL 7 - GTB / GTE</t>
        </is>
      </c>
      <c r="C93" s="17" t="inlineStr"/>
      <c r="D93" s="17" t="inlineStr"/>
      <c r="E93" s="18" t="inlineStr"/>
      <c r="F93" s="20">
        <f>SUM(F84:F92)</f>
        <v/>
      </c>
      <c r="G93" s="17" t="inlineStr"/>
    </row>
    <row r="94">
      <c r="A94" s="17" t="n"/>
      <c r="B94" s="17" t="n"/>
      <c r="C94" s="17" t="n"/>
      <c r="D94" s="17" t="n"/>
      <c r="E94" s="18" t="n"/>
      <c r="F94" s="18" t="n"/>
      <c r="G94" s="17" t="n"/>
    </row>
    <row r="95">
      <c r="A95" s="17" t="n"/>
      <c r="B95" s="19" t="inlineStr">
        <is>
          <t>TOTAL GÉNÉRAL LOTS 4 À 7 HT</t>
        </is>
      </c>
      <c r="C95" s="17" t="n"/>
      <c r="D95" s="17" t="n"/>
      <c r="E95" s="18" t="n"/>
      <c r="F95" s="20">
        <f>F51+F73+F83+F93</f>
        <v/>
      </c>
      <c r="G95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3" max="3"/>
  </cols>
  <sheetData>
    <row r="1">
      <c r="A1" s="2" t="inlineStr">
        <is>
          <t>Paramètre</t>
        </is>
      </c>
      <c r="B1" s="2" t="inlineStr">
        <is>
          <t>Valeur</t>
        </is>
      </c>
      <c r="C1" s="2" t="inlineStr">
        <is>
          <t>Commentaire</t>
        </is>
      </c>
    </row>
    <row r="2">
      <c r="A2" t="inlineStr">
        <is>
          <t>Taux monteur €/h</t>
        </is>
      </c>
      <c r="B2" t="n">
        <v>40</v>
      </c>
      <c r="C2" t="inlineStr"/>
    </row>
    <row r="3">
      <c r="A3" t="inlineStr">
        <is>
          <t>Taux technicien CFA €/h</t>
        </is>
      </c>
      <c r="B3" t="n">
        <v>60</v>
      </c>
      <c r="C3" t="inlineStr"/>
    </row>
    <row r="4">
      <c r="A4" t="inlineStr">
        <is>
          <t>Taux technicien SSI €/h</t>
        </is>
      </c>
      <c r="B4" t="n">
        <v>62</v>
      </c>
      <c r="C4" t="inlineStr"/>
    </row>
    <row r="5">
      <c r="A5" t="inlineStr">
        <is>
          <t>Taux BE €/h</t>
        </is>
      </c>
      <c r="B5" t="n">
        <v>75</v>
      </c>
      <c r="C5" t="inlineStr"/>
    </row>
    <row r="6">
      <c r="A6" t="inlineStr">
        <is>
          <t>Coef k VDI/AV/vidéo/GTB</t>
        </is>
      </c>
      <c r="B6" t="n">
        <v>1.444444</v>
      </c>
      <c r="C6" t="inlineStr">
        <is>
          <t>PR × 1,04 / (1 − 20 % − 8 %)</t>
        </is>
      </c>
    </row>
    <row r="7">
      <c r="A7" t="inlineStr">
        <is>
          <t>Coef k SSI</t>
        </is>
      </c>
      <c r="B7" t="n">
        <v>1.350649</v>
      </c>
      <c r="C7" t="inlineStr">
        <is>
          <t>PR × 1,04 / (1 − 15 % − 8 %)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60" customWidth="1" min="3" max="3"/>
    <col width="5" customWidth="1" min="4" max="4"/>
    <col width="6" customWidth="1" min="5" max="5"/>
    <col width="12" customWidth="1" min="6" max="6"/>
    <col width="12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1" customWidth="1" min="13" max="13"/>
    <col width="7" customWidth="1" min="14" max="14"/>
    <col width="11" customWidth="1" min="15" max="15"/>
    <col width="12" customWidth="1" min="16" max="16"/>
    <col width="12" customWidth="1" min="17" max="17"/>
    <col width="70" customWidth="1" min="18" max="18"/>
    <col width="55" customWidth="1" min="19" max="19"/>
  </cols>
  <sheetData>
    <row r="1">
      <c r="A1" s="21" t="inlineStr">
        <is>
          <t>Ligne DPGF</t>
        </is>
      </c>
      <c r="B1" s="21" t="inlineStr">
        <is>
          <t>Lot</t>
        </is>
      </c>
      <c r="C1" s="21" t="inlineStr">
        <is>
          <t>Désignation</t>
        </is>
      </c>
      <c r="D1" s="21" t="inlineStr">
        <is>
          <t>U</t>
        </is>
      </c>
      <c r="E1" s="21" t="inlineStr">
        <is>
          <t>Qté</t>
        </is>
      </c>
      <c r="F1" s="21" t="inlineStr">
        <is>
          <t>Fourn. devis PR/u</t>
        </is>
      </c>
      <c r="G1" s="21" t="inlineStr">
        <is>
          <t>Fourn. ajoutée PR/u (estimatif)</t>
        </is>
      </c>
      <c r="H1" s="21" t="inlineStr">
        <is>
          <t>h Monteur/u</t>
        </is>
      </c>
      <c r="I1" s="21" t="inlineStr">
        <is>
          <t>h Tech CFA/u</t>
        </is>
      </c>
      <c r="J1" s="21" t="inlineStr">
        <is>
          <t>h Tech SSI/u</t>
        </is>
      </c>
      <c r="K1" s="21" t="inlineStr">
        <is>
          <t>h BE/u</t>
        </is>
      </c>
      <c r="L1" s="21" t="inlineStr">
        <is>
          <t>MO PR/u</t>
        </is>
      </c>
      <c r="M1" s="21" t="inlineStr">
        <is>
          <t>PR/u</t>
        </is>
      </c>
      <c r="N1" s="21" t="inlineStr">
        <is>
          <t>k</t>
        </is>
      </c>
      <c r="O1" s="21" t="inlineStr">
        <is>
          <t>PV/u</t>
        </is>
      </c>
      <c r="P1" s="21" t="inlineStr">
        <is>
          <t>PV total</t>
        </is>
      </c>
      <c r="Q1" s="21" t="inlineStr">
        <is>
          <t>PR total</t>
        </is>
      </c>
      <c r="R1" s="21" t="inlineStr">
        <is>
          <t>Source fournisseur</t>
        </is>
      </c>
      <c r="S1" s="21" t="inlineStr">
        <is>
          <t>Hypothèses MO / fournitures ajoutées</t>
        </is>
      </c>
    </row>
    <row r="2">
      <c r="A2" s="17" t="n">
        <v>4</v>
      </c>
      <c r="B2" s="17" t="inlineStr">
        <is>
          <t>4</t>
        </is>
      </c>
      <c r="C2" s="17" t="inlineStr">
        <is>
          <t>Fourniture, pose et raccordement répartiteur informatique principal dans poste énergie Hub 1, incluant switch PoE</t>
        </is>
      </c>
      <c r="D2" s="17" t="inlineStr">
        <is>
          <t>Ens</t>
        </is>
      </c>
      <c r="E2" s="17" t="n">
        <v>1</v>
      </c>
      <c r="F2" s="18" t="n">
        <v>1420.88</v>
      </c>
      <c r="G2" s="18" t="n">
        <v>0</v>
      </c>
      <c r="H2" s="17" t="n">
        <v>0</v>
      </c>
      <c r="I2" s="17" t="n">
        <v>5</v>
      </c>
      <c r="J2" s="17" t="n">
        <v>0</v>
      </c>
      <c r="K2" s="17" t="n">
        <v>0</v>
      </c>
      <c r="L2" s="18">
        <f>H2*Paramètres!$B$2+I2*Paramètres!$B$3+J2*Paramètres!$B$4+K2*Paramètres!$B$5</f>
        <v/>
      </c>
      <c r="M2" s="18">
        <f>F2+G2+L2</f>
        <v/>
      </c>
      <c r="N2" s="22">
        <f>Paramètres!$B$6</f>
        <v/>
      </c>
      <c r="O2" s="18">
        <f>ROUND(M2*N2,2)</f>
        <v/>
      </c>
      <c r="P2" s="18">
        <f>O2*E2</f>
        <v/>
      </c>
      <c r="Q2" s="18">
        <f>M2*E2</f>
        <v/>
      </c>
      <c r="R2" s="17" t="inlineStr">
        <is>
          <t>Octet Plus DE044128 du 15/10/2026 : baie 42U BAI4288CN 615,40 + bandeau 8PC 19,45 ; CCF/Sonepar 313371 du 12/10/2026 : switch L3 S57244-B0 786,03</t>
        </is>
      </c>
      <c r="S2" s="17" t="inlineStr">
        <is>
          <t>Pose baie + switch L3 (5 h tech)</t>
        </is>
      </c>
    </row>
    <row r="3">
      <c r="A3" s="17" t="n">
        <v>5</v>
      </c>
      <c r="B3" s="17" t="inlineStr">
        <is>
          <t>4</t>
        </is>
      </c>
      <c r="C3" s="17" t="inlineStr">
        <is>
          <t>Fourniture, pose et raccordement répartiteur informatique principal dans poste énergie Hub 2, incluant switch PoE</t>
        </is>
      </c>
      <c r="D3" s="17" t="inlineStr">
        <is>
          <t>Ens</t>
        </is>
      </c>
      <c r="E3" s="17" t="n">
        <v>1</v>
      </c>
      <c r="F3" s="18" t="n">
        <v>634.85</v>
      </c>
      <c r="G3" s="18" t="n">
        <v>0</v>
      </c>
      <c r="H3" s="17" t="n">
        <v>0</v>
      </c>
      <c r="I3" s="17" t="n">
        <v>5</v>
      </c>
      <c r="J3" s="17" t="n">
        <v>0</v>
      </c>
      <c r="K3" s="17" t="n">
        <v>0</v>
      </c>
      <c r="L3" s="18">
        <f>H3*Paramètres!$B$2+I3*Paramètres!$B$3+J3*Paramètres!$B$4+K3*Paramètres!$B$5</f>
        <v/>
      </c>
      <c r="M3" s="18">
        <f>F3+G3+L3</f>
        <v/>
      </c>
      <c r="N3" s="22">
        <f>Paramètres!$B$6</f>
        <v/>
      </c>
      <c r="O3" s="18">
        <f>ROUND(M3*N3,2)</f>
        <v/>
      </c>
      <c r="P3" s="18">
        <f>O3*E3</f>
        <v/>
      </c>
      <c r="Q3" s="18">
        <f>M3*E3</f>
        <v/>
      </c>
      <c r="R3" s="17" t="inlineStr">
        <is>
          <t>Octet Plus DE044128 du 15/10/2026 : baie 42U + bandeau. Switch fourni par EXYTE</t>
        </is>
      </c>
      <c r="S3" s="17" t="inlineStr">
        <is>
          <t>Pose baie + switch EXYTE (5 h)</t>
        </is>
      </c>
    </row>
    <row r="4">
      <c r="A4" s="17" t="n">
        <v>6</v>
      </c>
      <c r="B4" s="17" t="inlineStr">
        <is>
          <t>4</t>
        </is>
      </c>
      <c r="C4" s="17" t="inlineStr">
        <is>
          <t>Fourniture, pose et raccordement répartiteur informatique secondaire Est 1 incluant switch PoE</t>
        </is>
      </c>
      <c r="D4" s="17" t="inlineStr">
        <is>
          <t>Ens</t>
        </is>
      </c>
      <c r="E4" s="17" t="n">
        <v>1</v>
      </c>
      <c r="F4" s="18" t="n">
        <v>0</v>
      </c>
      <c r="G4" s="18" t="n">
        <v>0</v>
      </c>
      <c r="H4" s="17" t="n">
        <v>0</v>
      </c>
      <c r="I4" s="17" t="n">
        <v>2</v>
      </c>
      <c r="J4" s="17" t="n">
        <v>0</v>
      </c>
      <c r="K4" s="17" t="n">
        <v>0</v>
      </c>
      <c r="L4" s="18">
        <f>H4*Paramètres!$B$2+I4*Paramètres!$B$3+J4*Paramètres!$B$4+K4*Paramètres!$B$5</f>
        <v/>
      </c>
      <c r="M4" s="18">
        <f>F4+G4+L4</f>
        <v/>
      </c>
      <c r="N4" s="22">
        <f>Paramètres!$B$6</f>
        <v/>
      </c>
      <c r="O4" s="18">
        <f>ROUND(M4*N4,2)</f>
        <v/>
      </c>
      <c r="P4" s="18">
        <f>O4*E4</f>
        <v/>
      </c>
      <c r="Q4" s="18">
        <f>M4*E4</f>
        <v/>
      </c>
      <c r="R4" s="17" t="inlineStr">
        <is>
          <t>Coffret IP55 fourni/posé SPIE ; switch EXYTE ; tiroir et panneau comptés dans lignes fibre/cuivre</t>
        </is>
      </c>
      <c r="S4" s="17" t="inlineStr">
        <is>
          <t>Intégration dans coffret SPIE 2 h</t>
        </is>
      </c>
    </row>
    <row r="5">
      <c r="A5" s="17" t="n">
        <v>7</v>
      </c>
      <c r="B5" s="17" t="inlineStr">
        <is>
          <t>4</t>
        </is>
      </c>
      <c r="C5" s="17" t="inlineStr">
        <is>
          <t>Fourniture, pose et raccordement répartiteur informatique secondaire Est 2 incluant switch PoE</t>
        </is>
      </c>
      <c r="D5" s="17" t="inlineStr">
        <is>
          <t>Ens</t>
        </is>
      </c>
      <c r="E5" s="17" t="n">
        <v>1</v>
      </c>
      <c r="F5" s="18" t="n">
        <v>0</v>
      </c>
      <c r="G5" s="18" t="n">
        <v>0</v>
      </c>
      <c r="H5" s="17" t="n">
        <v>0</v>
      </c>
      <c r="I5" s="17" t="n">
        <v>2</v>
      </c>
      <c r="J5" s="17" t="n">
        <v>0</v>
      </c>
      <c r="K5" s="17" t="n">
        <v>0</v>
      </c>
      <c r="L5" s="18">
        <f>H5*Paramètres!$B$2+I5*Paramètres!$B$3+J5*Paramètres!$B$4+K5*Paramètres!$B$5</f>
        <v/>
      </c>
      <c r="M5" s="18">
        <f>F5+G5+L5</f>
        <v/>
      </c>
      <c r="N5" s="22">
        <f>Paramètres!$B$6</f>
        <v/>
      </c>
      <c r="O5" s="18">
        <f>ROUND(M5*N5,2)</f>
        <v/>
      </c>
      <c r="P5" s="18">
        <f>O5*E5</f>
        <v/>
      </c>
      <c r="Q5" s="18">
        <f>M5*E5</f>
        <v/>
      </c>
      <c r="R5" s="17" t="inlineStr">
        <is>
          <t>Idem Est 1</t>
        </is>
      </c>
      <c r="S5" s="17" t="inlineStr">
        <is>
          <t>Idem</t>
        </is>
      </c>
    </row>
    <row r="6">
      <c r="A6" s="17" t="n">
        <v>8</v>
      </c>
      <c r="B6" s="17" t="inlineStr">
        <is>
          <t>4</t>
        </is>
      </c>
      <c r="C6" s="17" t="inlineStr">
        <is>
          <t>Fourniture, pose et raccordement répartiteur informatique secondaire Est 3 incluant switch PoE</t>
        </is>
      </c>
      <c r="D6" s="17" t="inlineStr">
        <is>
          <t>Ens</t>
        </is>
      </c>
      <c r="E6" s="17" t="n">
        <v>1</v>
      </c>
      <c r="F6" s="18" t="n">
        <v>0</v>
      </c>
      <c r="G6" s="18" t="n">
        <v>0</v>
      </c>
      <c r="H6" s="17" t="n">
        <v>0</v>
      </c>
      <c r="I6" s="17" t="n">
        <v>2</v>
      </c>
      <c r="J6" s="17" t="n">
        <v>0</v>
      </c>
      <c r="K6" s="17" t="n">
        <v>0</v>
      </c>
      <c r="L6" s="18">
        <f>H6*Paramètres!$B$2+I6*Paramètres!$B$3+J6*Paramètres!$B$4+K6*Paramètres!$B$5</f>
        <v/>
      </c>
      <c r="M6" s="18">
        <f>F6+G6+L6</f>
        <v/>
      </c>
      <c r="N6" s="22">
        <f>Paramètres!$B$6</f>
        <v/>
      </c>
      <c r="O6" s="18">
        <f>ROUND(M6*N6,2)</f>
        <v/>
      </c>
      <c r="P6" s="18">
        <f>O6*E6</f>
        <v/>
      </c>
      <c r="Q6" s="18">
        <f>M6*E6</f>
        <v/>
      </c>
      <c r="R6" s="17" t="inlineStr">
        <is>
          <t>Idem Est 1</t>
        </is>
      </c>
      <c r="S6" s="17" t="inlineStr">
        <is>
          <t>Idem</t>
        </is>
      </c>
    </row>
    <row r="7">
      <c r="A7" s="17" t="n">
        <v>9</v>
      </c>
      <c r="B7" s="17" t="inlineStr">
        <is>
          <t>4</t>
        </is>
      </c>
      <c r="C7" s="17" t="inlineStr">
        <is>
          <t>Fourniture, pose et raccordement répartiteur informatique secondaire Ouest 1 incluant switch PoE</t>
        </is>
      </c>
      <c r="D7" s="17" t="inlineStr">
        <is>
          <t>Ens</t>
        </is>
      </c>
      <c r="E7" s="17" t="n">
        <v>1</v>
      </c>
      <c r="F7" s="18" t="n">
        <v>0</v>
      </c>
      <c r="G7" s="18" t="n">
        <v>0</v>
      </c>
      <c r="H7" s="17" t="n">
        <v>0</v>
      </c>
      <c r="I7" s="17" t="n">
        <v>2</v>
      </c>
      <c r="J7" s="17" t="n">
        <v>0</v>
      </c>
      <c r="K7" s="17" t="n">
        <v>0</v>
      </c>
      <c r="L7" s="18">
        <f>H7*Paramètres!$B$2+I7*Paramètres!$B$3+J7*Paramètres!$B$4+K7*Paramètres!$B$5</f>
        <v/>
      </c>
      <c r="M7" s="18">
        <f>F7+G7+L7</f>
        <v/>
      </c>
      <c r="N7" s="22">
        <f>Paramètres!$B$6</f>
        <v/>
      </c>
      <c r="O7" s="18">
        <f>ROUND(M7*N7,2)</f>
        <v/>
      </c>
      <c r="P7" s="18">
        <f>O7*E7</f>
        <v/>
      </c>
      <c r="Q7" s="18">
        <f>M7*E7</f>
        <v/>
      </c>
      <c r="R7" s="17" t="inlineStr">
        <is>
          <t>Idem Est 1</t>
        </is>
      </c>
      <c r="S7" s="17" t="inlineStr">
        <is>
          <t>Idem</t>
        </is>
      </c>
    </row>
    <row r="8">
      <c r="A8" s="17" t="n">
        <v>10</v>
      </c>
      <c r="B8" s="17" t="inlineStr">
        <is>
          <t>4</t>
        </is>
      </c>
      <c r="C8" s="17" t="inlineStr">
        <is>
          <t>Fourniture, pose et raccordement répartiteur informatique secondaire Ouest 2 incluant switch PoE</t>
        </is>
      </c>
      <c r="D8" s="17" t="inlineStr">
        <is>
          <t>Ens</t>
        </is>
      </c>
      <c r="E8" s="17" t="n">
        <v>1</v>
      </c>
      <c r="F8" s="18" t="n">
        <v>0</v>
      </c>
      <c r="G8" s="18" t="n">
        <v>0</v>
      </c>
      <c r="H8" s="17" t="n">
        <v>0</v>
      </c>
      <c r="I8" s="17" t="n">
        <v>2</v>
      </c>
      <c r="J8" s="17" t="n">
        <v>0</v>
      </c>
      <c r="K8" s="17" t="n">
        <v>0</v>
      </c>
      <c r="L8" s="18">
        <f>H8*Paramètres!$B$2+I8*Paramètres!$B$3+J8*Paramètres!$B$4+K8*Paramètres!$B$5</f>
        <v/>
      </c>
      <c r="M8" s="18">
        <f>F8+G8+L8</f>
        <v/>
      </c>
      <c r="N8" s="22">
        <f>Paramètres!$B$6</f>
        <v/>
      </c>
      <c r="O8" s="18">
        <f>ROUND(M8*N8,2)</f>
        <v/>
      </c>
      <c r="P8" s="18">
        <f>O8*E8</f>
        <v/>
      </c>
      <c r="Q8" s="18">
        <f>M8*E8</f>
        <v/>
      </c>
      <c r="R8" s="17" t="inlineStr">
        <is>
          <t>Idem Est 1</t>
        </is>
      </c>
      <c r="S8" s="17" t="inlineStr">
        <is>
          <t>Idem</t>
        </is>
      </c>
    </row>
    <row r="9">
      <c r="A9" s="17" t="n">
        <v>11</v>
      </c>
      <c r="B9" s="17" t="inlineStr">
        <is>
          <t>4</t>
        </is>
      </c>
      <c r="C9" s="17" t="inlineStr">
        <is>
          <t>Fourniture, pose et raccordement boucle fibre OS2 12 brins autocicatrisante depuis le répartiteur principal poste énergie Hub 1 vers répartiteurs secondaires Est 1, Est 2, Ouest 1, Ouest 2 et Ouest 3</t>
        </is>
      </c>
      <c r="D9" s="17" t="inlineStr">
        <is>
          <t>Ens</t>
        </is>
      </c>
      <c r="E9" s="17" t="n">
        <v>1</v>
      </c>
      <c r="F9" s="18" t="n">
        <v>7094.92</v>
      </c>
      <c r="G9" s="18" t="n">
        <v>0</v>
      </c>
      <c r="H9" s="17" t="n">
        <v>72.5</v>
      </c>
      <c r="I9" s="17" t="n">
        <v>0</v>
      </c>
      <c r="J9" s="17" t="n">
        <v>0</v>
      </c>
      <c r="K9" s="17" t="n">
        <v>0</v>
      </c>
      <c r="L9" s="18">
        <f>H9*Paramètres!$B$2+I9*Paramètres!$B$3+J9*Paramètres!$B$4+K9*Paramètres!$B$5</f>
        <v/>
      </c>
      <c r="M9" s="18">
        <f>F9+G9+L9</f>
        <v/>
      </c>
      <c r="N9" s="22">
        <f>Paramètres!$B$6</f>
        <v/>
      </c>
      <c r="O9" s="18">
        <f>ROUND(M9*N9,2)</f>
        <v/>
      </c>
      <c r="P9" s="18">
        <f>O9*E9</f>
        <v/>
      </c>
      <c r="Q9" s="18">
        <f>M9*E9</f>
        <v/>
      </c>
      <c r="R9" s="17" t="inlineStr">
        <is>
          <t>Octet Plus DE044128 du 15/10/2026 : OS2 12 brins ZVKLUZB12OS2 ≈2 900 ml (3 728,57) + 6 tronçons tiroirs/fusion/photométrie/jarretières (561,06 × 6)</t>
        </is>
      </c>
      <c r="S9" s="17" t="inlineStr">
        <is>
          <t>Tirage 2,5 h/100 ml ; fusion et tests Octet Plus</t>
        </is>
      </c>
    </row>
    <row r="10">
      <c r="A10" s="17" t="n">
        <v>12</v>
      </c>
      <c r="B10" s="17" t="inlineStr">
        <is>
          <t>4</t>
        </is>
      </c>
      <c r="C10" s="17" t="inlineStr">
        <is>
          <t>Fourniture, pose et raccordement liaison fibre OS2 12 brins autocicatrisante depuis le répartiteur principal poste énergie Hub 1 vers le répartiteur princiapl Hub 2</t>
        </is>
      </c>
      <c r="D10" s="17" t="inlineStr">
        <is>
          <t>Ens</t>
        </is>
      </c>
      <c r="E10" s="17" t="n">
        <v>1</v>
      </c>
      <c r="F10" s="18" t="n">
        <v>1139.63</v>
      </c>
      <c r="G10" s="18" t="n">
        <v>0</v>
      </c>
      <c r="H10" s="17" t="n">
        <v>11.25</v>
      </c>
      <c r="I10" s="17" t="n">
        <v>0</v>
      </c>
      <c r="J10" s="17" t="n">
        <v>0</v>
      </c>
      <c r="K10" s="17" t="n">
        <v>0</v>
      </c>
      <c r="L10" s="18">
        <f>H10*Paramètres!$B$2+I10*Paramètres!$B$3+J10*Paramètres!$B$4+K10*Paramètres!$B$5</f>
        <v/>
      </c>
      <c r="M10" s="18">
        <f>F10+G10+L10</f>
        <v/>
      </c>
      <c r="N10" s="22">
        <f>Paramètres!$B$6</f>
        <v/>
      </c>
      <c r="O10" s="18">
        <f>ROUND(M10*N10,2)</f>
        <v/>
      </c>
      <c r="P10" s="18">
        <f>O10*E10</f>
        <v/>
      </c>
      <c r="Q10" s="18">
        <f>M10*E10</f>
        <v/>
      </c>
      <c r="R10" s="17" t="inlineStr">
        <is>
          <t>Octet Plus DE044128 du 15/10/2026 : OS2 ≈450 ml 578,57 + tronçon 561,06</t>
        </is>
      </c>
      <c r="S10" s="17" t="inlineStr">
        <is>
          <t>Tirage 450 ml</t>
        </is>
      </c>
    </row>
    <row r="11">
      <c r="A11" s="17" t="n">
        <v>13</v>
      </c>
      <c r="B11" s="17" t="inlineStr">
        <is>
          <t>4</t>
        </is>
      </c>
      <c r="C11" s="17" t="inlineStr">
        <is>
          <t>Paramétrage équipements informatiques</t>
        </is>
      </c>
      <c r="D11" s="17" t="inlineStr">
        <is>
          <t>Ens</t>
        </is>
      </c>
      <c r="E11" s="17" t="n">
        <v>1</v>
      </c>
      <c r="F11" s="18" t="n">
        <v>0</v>
      </c>
      <c r="G11" s="18" t="n">
        <v>0</v>
      </c>
      <c r="H11" s="17" t="n">
        <v>0</v>
      </c>
      <c r="I11" s="17" t="n">
        <v>20</v>
      </c>
      <c r="J11" s="17" t="n">
        <v>0</v>
      </c>
      <c r="K11" s="17" t="n">
        <v>16</v>
      </c>
      <c r="L11" s="18">
        <f>H11*Paramètres!$B$2+I11*Paramètres!$B$3+J11*Paramètres!$B$4+K11*Paramètres!$B$5</f>
        <v/>
      </c>
      <c r="M11" s="18">
        <f>F11+G11+L11</f>
        <v/>
      </c>
      <c r="N11" s="22">
        <f>Paramètres!$B$6</f>
        <v/>
      </c>
      <c r="O11" s="18">
        <f>ROUND(M11*N11,2)</f>
        <v/>
      </c>
      <c r="P11" s="18">
        <f>O11*E11</f>
        <v/>
      </c>
      <c r="Q11" s="18">
        <f>M11*E11</f>
        <v/>
      </c>
      <c r="R11" s="17" t="inlineStr">
        <is>
          <t>MO PROSYB</t>
        </is>
      </c>
      <c r="S11" s="17" t="inlineStr">
        <is>
          <t>Paramétrage cœurs + 5 secondaires + ERPS/VLAN ; BE adressage, synoptiques, DOE</t>
        </is>
      </c>
    </row>
    <row r="12">
      <c r="A12" s="17" t="n">
        <v>14</v>
      </c>
      <c r="B12" s="17" t="inlineStr">
        <is>
          <t>4</t>
        </is>
      </c>
      <c r="C12" s="17" t="inlineStr">
        <is>
          <t>Test de réfléctométrie</t>
        </is>
      </c>
      <c r="D12" s="17" t="inlineStr">
        <is>
          <t>Ens</t>
        </is>
      </c>
      <c r="E12" s="17" t="n">
        <v>1</v>
      </c>
      <c r="F12" s="18" t="n">
        <v>0</v>
      </c>
      <c r="G12" s="18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8">
        <f>H12*Paramètres!$B$2+I12*Paramètres!$B$3+J12*Paramètres!$B$4+K12*Paramètres!$B$5</f>
        <v/>
      </c>
      <c r="M12" s="18">
        <f>F12+G12+L12</f>
        <v/>
      </c>
      <c r="N12" s="22">
        <f>Paramètres!$B$6</f>
        <v/>
      </c>
      <c r="O12" s="18">
        <f>ROUND(M12*N12,2)</f>
        <v/>
      </c>
      <c r="P12" s="18">
        <f>O12*E12</f>
        <v/>
      </c>
      <c r="Q12" s="18">
        <f>M12*E12</f>
        <v/>
      </c>
      <c r="R12" s="17" t="inlineStr">
        <is>
          <t>Incluse lignes fibre (Octet Plus DE044128 du 15/10/2026 : test 1310/1550 nm 2 sens + photométrie Fluke)</t>
        </is>
      </c>
      <c r="S12" s="17" t="inlineStr">
        <is>
          <t>Sans MO</t>
        </is>
      </c>
    </row>
    <row r="13">
      <c r="A13" s="17" t="n">
        <v>16</v>
      </c>
      <c r="B13" s="17" t="inlineStr">
        <is>
          <t>4</t>
        </is>
      </c>
      <c r="C13" s="17" t="inlineStr">
        <is>
          <t>Fourniture, pose et raccordement liaison cuivre répartiteur informatique principal vers équipements (postes de travail CAD + bornes WiFi), 12 prises RJ45 par îlot, soit 24 prises RJ45 au total</t>
        </is>
      </c>
      <c r="D13" s="17" t="inlineStr">
        <is>
          <t>Ens</t>
        </is>
      </c>
      <c r="E13" s="17" t="n">
        <v>1</v>
      </c>
      <c r="F13" s="18" t="n">
        <v>770.76</v>
      </c>
      <c r="G13" s="18" t="n">
        <v>0</v>
      </c>
      <c r="H13" s="17" t="n">
        <v>28.8</v>
      </c>
      <c r="I13" s="17" t="n">
        <v>0</v>
      </c>
      <c r="J13" s="17" t="n">
        <v>0</v>
      </c>
      <c r="K13" s="17" t="n">
        <v>0</v>
      </c>
      <c r="L13" s="18">
        <f>H13*Paramètres!$B$2+I13*Paramètres!$B$3+J13*Paramètres!$B$4+K13*Paramètres!$B$5</f>
        <v/>
      </c>
      <c r="M13" s="18">
        <f>F13+G13+L13</f>
        <v/>
      </c>
      <c r="N13" s="22">
        <f>Paramètres!$B$6</f>
        <v/>
      </c>
      <c r="O13" s="18">
        <f>ROUND(M13*N13,2)</f>
        <v/>
      </c>
      <c r="P13" s="18">
        <f>O13*E13</f>
        <v/>
      </c>
      <c r="Q13" s="18">
        <f>M13*E13</f>
        <v/>
      </c>
      <c r="R13" s="17" t="inlineStr">
        <is>
          <t>Octet Plus DE044128 du 15/10/2026 : 24 liens Cat6A F/FTP ZVKCEFF1212K ≈35 m + noyaux fixLink + plastrons + cordons — POSE NON INCLUSE</t>
        </is>
      </c>
      <c r="S13" s="17" t="inlineStr">
        <is>
          <t>24 liens × 1,2 h</t>
        </is>
      </c>
    </row>
    <row r="14">
      <c r="A14" s="17" t="n">
        <v>17</v>
      </c>
      <c r="B14" s="17" t="inlineStr">
        <is>
          <t>4</t>
        </is>
      </c>
      <c r="C14" s="17" t="inlineStr">
        <is>
          <t>Pose et raccordement borne WiFi</t>
        </is>
      </c>
      <c r="D14" s="17" t="inlineStr">
        <is>
          <t>U</t>
        </is>
      </c>
      <c r="E14" s="17" t="n">
        <v>4</v>
      </c>
      <c r="F14" s="18" t="n">
        <v>0</v>
      </c>
      <c r="G14" s="18" t="n">
        <v>0</v>
      </c>
      <c r="H14" s="17" t="n">
        <v>0.75</v>
      </c>
      <c r="I14" s="17" t="n">
        <v>0.25</v>
      </c>
      <c r="J14" s="17" t="n">
        <v>0</v>
      </c>
      <c r="K14" s="17" t="n">
        <v>0</v>
      </c>
      <c r="L14" s="18">
        <f>H14*Paramètres!$B$2+I14*Paramètres!$B$3+J14*Paramètres!$B$4+K14*Paramètres!$B$5</f>
        <v/>
      </c>
      <c r="M14" s="18">
        <f>F14+G14+L14</f>
        <v/>
      </c>
      <c r="N14" s="22">
        <f>Paramètres!$B$6</f>
        <v/>
      </c>
      <c r="O14" s="18">
        <f>ROUND(M14*N14,2)</f>
        <v/>
      </c>
      <c r="P14" s="18">
        <f>O14*E14</f>
        <v/>
      </c>
      <c r="Q14" s="18">
        <f>M14*E14</f>
        <v/>
      </c>
      <c r="R14" s="17" t="inlineStr">
        <is>
          <t>Bornes fournies par EXYTE (à confirmer)</t>
        </is>
      </c>
      <c r="S14" s="17" t="inlineStr">
        <is>
          <t>0,75 h + 0,25 h / borne</t>
        </is>
      </c>
    </row>
    <row r="15">
      <c r="A15" s="17" t="n">
        <v>18</v>
      </c>
      <c r="B15" s="17" t="inlineStr">
        <is>
          <t>4</t>
        </is>
      </c>
      <c r="C15" s="17" t="inlineStr">
        <is>
          <t>Fourniture, pose et raccordement équipements audiovisuel salle de réunion (Un écran 85" par salle de réunion, avec enceinte caméra combinée + kit 5x micros déportés connectés)</t>
        </is>
      </c>
      <c r="D15" s="17" t="inlineStr">
        <is>
          <t>U</t>
        </is>
      </c>
      <c r="E15" s="17" t="n">
        <v>3</v>
      </c>
      <c r="F15" s="18" t="n">
        <v>8102.65</v>
      </c>
      <c r="G15" s="23" t="n">
        <v>756</v>
      </c>
      <c r="H15" s="17" t="n">
        <v>3</v>
      </c>
      <c r="I15" s="17" t="n">
        <v>3</v>
      </c>
      <c r="J15" s="17" t="n">
        <v>0</v>
      </c>
      <c r="K15" s="17" t="n">
        <v>0</v>
      </c>
      <c r="L15" s="18">
        <f>H15*Paramètres!$B$2+I15*Paramètres!$B$3+J15*Paramètres!$B$4+K15*Paramètres!$B$5</f>
        <v/>
      </c>
      <c r="M15" s="18">
        <f>F15+G15+L15</f>
        <v/>
      </c>
      <c r="N15" s="22">
        <f>Paramètres!$B$6</f>
        <v/>
      </c>
      <c r="O15" s="18">
        <f>ROUND(M15*N15,2)</f>
        <v/>
      </c>
      <c r="P15" s="18">
        <f>O15*E15</f>
        <v/>
      </c>
      <c r="Q15" s="18">
        <f>M15*E15</f>
        <v/>
      </c>
      <c r="R15" s="17" t="inlineStr">
        <is>
          <t>Sonepar AV 0014640130 du 16/10/2026 : écran iiyama 86" 2 188,50 + chariot Chief 920 + étagère 216 + Rally Bar 3 400 + micro 252 + Navori StiX 450 + licence 450 + switch PoE 164,19 + HDMI 54,47 + D3E/port 7,49</t>
        </is>
      </c>
      <c r="S15" s="17" t="inlineStr">
        <is>
          <t>Ajout 3 Rally Mic Pod × 252 (estimatif, recotation Sonepar demandée) ; MO 3 h mont + 3 h tech</t>
        </is>
      </c>
    </row>
    <row r="16">
      <c r="A16" s="17" t="n">
        <v>19</v>
      </c>
      <c r="B16" s="17" t="inlineStr">
        <is>
          <t>4</t>
        </is>
      </c>
      <c r="C16" s="17" t="inlineStr">
        <is>
          <t>Recettage cuivre</t>
        </is>
      </c>
      <c r="D16" s="17" t="inlineStr">
        <is>
          <t>Ens</t>
        </is>
      </c>
      <c r="E16" s="17" t="n">
        <v>1</v>
      </c>
      <c r="F16" s="18" t="n">
        <v>0</v>
      </c>
      <c r="G16" s="18" t="n">
        <v>0</v>
      </c>
      <c r="H16" s="17" t="n">
        <v>0</v>
      </c>
      <c r="I16" s="17" t="n">
        <v>3.4</v>
      </c>
      <c r="J16" s="17" t="n">
        <v>0</v>
      </c>
      <c r="K16" s="17" t="n">
        <v>0</v>
      </c>
      <c r="L16" s="18">
        <f>H16*Paramètres!$B$2+I16*Paramètres!$B$3+J16*Paramètres!$B$4+K16*Paramètres!$B$5</f>
        <v/>
      </c>
      <c r="M16" s="18">
        <f>F16+G16+L16</f>
        <v/>
      </c>
      <c r="N16" s="22">
        <f>Paramètres!$B$6</f>
        <v/>
      </c>
      <c r="O16" s="18">
        <f>ROUND(M16*N16,2)</f>
        <v/>
      </c>
      <c r="P16" s="18">
        <f>O16*E16</f>
        <v/>
      </c>
      <c r="Q16" s="18">
        <f>M16*E16</f>
        <v/>
      </c>
      <c r="R16" s="17" t="inlineStr">
        <is>
          <t>Certification classe EA PROSYB (non chiffrée Octet Plus)</t>
        </is>
      </c>
      <c r="S16" s="17" t="inlineStr">
        <is>
          <t>24 liens × 0,1 h + rapport</t>
        </is>
      </c>
    </row>
    <row r="17">
      <c r="A17" s="17" t="n">
        <v>22</v>
      </c>
      <c r="B17" s="17" t="inlineStr">
        <is>
          <t>4</t>
        </is>
      </c>
      <c r="C17" s="17" t="inlineStr">
        <is>
          <t>Sans objet</t>
        </is>
      </c>
      <c r="D17" s="17" t="inlineStr">
        <is>
          <t>Ens</t>
        </is>
      </c>
      <c r="E17" s="17" t="n">
        <v>1</v>
      </c>
      <c r="F17" s="18" t="n">
        <v>0</v>
      </c>
      <c r="G17" s="18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8">
        <f>H17*Paramètres!$B$2+I17*Paramètres!$B$3+J17*Paramètres!$B$4+K17*Paramètres!$B$5</f>
        <v/>
      </c>
      <c r="M17" s="18">
        <f>F17+G17+L17</f>
        <v/>
      </c>
      <c r="N17" s="22">
        <f>Paramètres!$B$6</f>
        <v/>
      </c>
      <c r="O17" s="18">
        <f>ROUND(M17*N17,2)</f>
        <v/>
      </c>
      <c r="P17" s="18">
        <f>O17*E17</f>
        <v/>
      </c>
      <c r="Q17" s="18">
        <f>M17*E17</f>
        <v/>
      </c>
      <c r="R17" s="17" t="inlineStr">
        <is>
          <t>Sans objet DPGF</t>
        </is>
      </c>
      <c r="S17" s="17" t="inlineStr"/>
    </row>
    <row r="18">
      <c r="A18" s="17" t="n">
        <v>24</v>
      </c>
      <c r="B18" s="17" t="inlineStr">
        <is>
          <t>4</t>
        </is>
      </c>
      <c r="C18" s="17" t="inlineStr">
        <is>
          <t>Fourniture, pose et raccordement liaisons cuivre répartiteur informatique principal vers équipements (postes de travail CAD + bornes WiFi), 12 prises RJ45 par îlot, soit 96 prises RJ45 au total</t>
        </is>
      </c>
      <c r="D18" s="17" t="inlineStr">
        <is>
          <t>Ens</t>
        </is>
      </c>
      <c r="E18" s="17" t="n">
        <v>1</v>
      </c>
      <c r="F18" s="18" t="n">
        <v>3083.05</v>
      </c>
      <c r="G18" s="18" t="n">
        <v>0</v>
      </c>
      <c r="H18" s="17" t="n">
        <v>115.2</v>
      </c>
      <c r="I18" s="17" t="n">
        <v>0</v>
      </c>
      <c r="J18" s="17" t="n">
        <v>0</v>
      </c>
      <c r="K18" s="17" t="n">
        <v>0</v>
      </c>
      <c r="L18" s="18">
        <f>H18*Paramètres!$B$2+I18*Paramètres!$B$3+J18*Paramètres!$B$4+K18*Paramètres!$B$5</f>
        <v/>
      </c>
      <c r="M18" s="18">
        <f>F18+G18+L18</f>
        <v/>
      </c>
      <c r="N18" s="22">
        <f>Paramètres!$B$6</f>
        <v/>
      </c>
      <c r="O18" s="18">
        <f>ROUND(M18*N18,2)</f>
        <v/>
      </c>
      <c r="P18" s="18">
        <f>O18*E18</f>
        <v/>
      </c>
      <c r="Q18" s="18">
        <f>M18*E18</f>
        <v/>
      </c>
      <c r="R18" s="17" t="inlineStr">
        <is>
          <t>Octet Plus DE044128 du 15/10/2026 : 96 liens Cat6A ≈35 m — pose non incluse</t>
        </is>
      </c>
      <c r="S18" s="17" t="inlineStr">
        <is>
          <t>96 × 1,2 h</t>
        </is>
      </c>
    </row>
    <row r="19">
      <c r="A19" s="17" t="n">
        <v>25</v>
      </c>
      <c r="B19" s="17" t="inlineStr">
        <is>
          <t>4</t>
        </is>
      </c>
      <c r="C19" s="17" t="inlineStr">
        <is>
          <t>Fourniture, pose et raccordement borne WiFi</t>
        </is>
      </c>
      <c r="D19" s="17" t="inlineStr">
        <is>
          <t>U</t>
        </is>
      </c>
      <c r="E19" s="17" t="n">
        <v>20</v>
      </c>
      <c r="F19" s="18" t="n">
        <v>0</v>
      </c>
      <c r="G19" s="23" t="n">
        <v>160</v>
      </c>
      <c r="H19" s="17" t="n">
        <v>0.75</v>
      </c>
      <c r="I19" s="17" t="n">
        <v>0.25</v>
      </c>
      <c r="J19" s="17" t="n">
        <v>0</v>
      </c>
      <c r="K19" s="17" t="n">
        <v>0</v>
      </c>
      <c r="L19" s="18">
        <f>H19*Paramètres!$B$2+I19*Paramètres!$B$3+J19*Paramètres!$B$4+K19*Paramètres!$B$5</f>
        <v/>
      </c>
      <c r="M19" s="18">
        <f>F19+G19+L19</f>
        <v/>
      </c>
      <c r="N19" s="22">
        <f>Paramètres!$B$6</f>
        <v/>
      </c>
      <c r="O19" s="18">
        <f>ROUND(M19*N19,2)</f>
        <v/>
      </c>
      <c r="P19" s="18">
        <f>O19*E19</f>
        <v/>
      </c>
      <c r="Q19" s="18">
        <f>M19*E19</f>
        <v/>
      </c>
      <c r="R19" s="17" t="inlineStr">
        <is>
          <t>Borne Wi-Fi 6 PoE type Ubiquiti U6 Pro 160 € (ESTIMATIF, pas de devis)</t>
        </is>
      </c>
      <c r="S19" s="17" t="inlineStr">
        <is>
          <t>0,75 h + 0,25 h</t>
        </is>
      </c>
    </row>
    <row r="20">
      <c r="A20" s="17" t="n">
        <v>26</v>
      </c>
      <c r="B20" s="17" t="inlineStr">
        <is>
          <t>4</t>
        </is>
      </c>
      <c r="C20" s="17" t="inlineStr">
        <is>
          <t>Fourniture, pose et raccordement équipements audiovisuel salle de réunion (Un écran 85" par salle de réunion, avec enceinte caméra combinée + kit 5x micros déportés connectés)</t>
        </is>
      </c>
      <c r="D20" s="17" t="inlineStr">
        <is>
          <t>U</t>
        </is>
      </c>
      <c r="E20" s="17" t="n">
        <v>7</v>
      </c>
      <c r="F20" s="18" t="n">
        <v>8102.65</v>
      </c>
      <c r="G20" s="23" t="n">
        <v>756</v>
      </c>
      <c r="H20" s="17" t="n">
        <v>3</v>
      </c>
      <c r="I20" s="17" t="n">
        <v>3</v>
      </c>
      <c r="J20" s="17" t="n">
        <v>0</v>
      </c>
      <c r="K20" s="17" t="n">
        <v>0</v>
      </c>
      <c r="L20" s="18">
        <f>H20*Paramètres!$B$2+I20*Paramètres!$B$3+J20*Paramètres!$B$4+K20*Paramètres!$B$5</f>
        <v/>
      </c>
      <c r="M20" s="18">
        <f>F20+G20+L20</f>
        <v/>
      </c>
      <c r="N20" s="22">
        <f>Paramètres!$B$6</f>
        <v/>
      </c>
      <c r="O20" s="18">
        <f>ROUND(M20*N20,2)</f>
        <v/>
      </c>
      <c r="P20" s="18">
        <f>O20*E20</f>
        <v/>
      </c>
      <c r="Q20" s="18">
        <f>M20*E20</f>
        <v/>
      </c>
      <c r="R20" s="17" t="inlineStr">
        <is>
          <t>Sonepar AV 0014640130 du 16/10/2026 : idem P2</t>
        </is>
      </c>
      <c r="S20" s="17" t="inlineStr">
        <is>
          <t>Idem P2</t>
        </is>
      </c>
    </row>
    <row r="21">
      <c r="A21" s="17" t="n">
        <v>27</v>
      </c>
      <c r="B21" s="17" t="inlineStr">
        <is>
          <t>4</t>
        </is>
      </c>
      <c r="C21" s="17" t="inlineStr">
        <is>
          <t>Recettage cuivre</t>
        </is>
      </c>
      <c r="D21" s="17" t="inlineStr">
        <is>
          <t>Ens</t>
        </is>
      </c>
      <c r="E21" s="17" t="n">
        <v>1</v>
      </c>
      <c r="F21" s="18" t="n">
        <v>0</v>
      </c>
      <c r="G21" s="18" t="n">
        <v>0</v>
      </c>
      <c r="H21" s="17" t="n">
        <v>0</v>
      </c>
      <c r="I21" s="17" t="n">
        <v>10.6</v>
      </c>
      <c r="J21" s="17" t="n">
        <v>0</v>
      </c>
      <c r="K21" s="17" t="n">
        <v>0</v>
      </c>
      <c r="L21" s="18">
        <f>H21*Paramètres!$B$2+I21*Paramètres!$B$3+J21*Paramètres!$B$4+K21*Paramètres!$B$5</f>
        <v/>
      </c>
      <c r="M21" s="18">
        <f>F21+G21+L21</f>
        <v/>
      </c>
      <c r="N21" s="22">
        <f>Paramètres!$B$6</f>
        <v/>
      </c>
      <c r="O21" s="18">
        <f>ROUND(M21*N21,2)</f>
        <v/>
      </c>
      <c r="P21" s="18">
        <f>O21*E21</f>
        <v/>
      </c>
      <c r="Q21" s="18">
        <f>M21*E21</f>
        <v/>
      </c>
      <c r="R21" s="17" t="inlineStr">
        <is>
          <t>Certification PROSYB</t>
        </is>
      </c>
      <c r="S21" s="17" t="inlineStr">
        <is>
          <t>96 × 0,1 h + rapport</t>
        </is>
      </c>
    </row>
    <row r="22">
      <c r="A22" s="17" t="n">
        <v>29</v>
      </c>
      <c r="B22" s="17" t="inlineStr">
        <is>
          <t>4</t>
        </is>
      </c>
      <c r="C22" s="17" t="inlineStr">
        <is>
          <t>Fourniture, pose et raccordement répartiteur secondaire bâtiments annexes</t>
        </is>
      </c>
      <c r="D22" s="17" t="inlineStr">
        <is>
          <t>U</t>
        </is>
      </c>
      <c r="E22" s="17" t="n">
        <v>2</v>
      </c>
      <c r="F22" s="18" t="n">
        <v>753.92</v>
      </c>
      <c r="G22" s="18" t="n">
        <v>0</v>
      </c>
      <c r="H22" s="17" t="n">
        <v>3.75</v>
      </c>
      <c r="I22" s="17" t="n">
        <v>2</v>
      </c>
      <c r="J22" s="17" t="n">
        <v>0</v>
      </c>
      <c r="K22" s="17" t="n">
        <v>0</v>
      </c>
      <c r="L22" s="18">
        <f>H22*Paramètres!$B$2+I22*Paramètres!$B$3+J22*Paramètres!$B$4+K22*Paramètres!$B$5</f>
        <v/>
      </c>
      <c r="M22" s="18">
        <f>F22+G22+L22</f>
        <v/>
      </c>
      <c r="N22" s="22">
        <f>Paramètres!$B$6</f>
        <v/>
      </c>
      <c r="O22" s="18">
        <f>ROUND(M22*N22,2)</f>
        <v/>
      </c>
      <c r="P22" s="18">
        <f>O22*E22</f>
        <v/>
      </c>
      <c r="Q22" s="18">
        <f>M22*E22</f>
        <v/>
      </c>
      <c r="R22" s="17" t="inlineStr">
        <is>
          <t>Octet Plus DE044128 du 15/10/2026 : OS2 ≈150 ml + tronçon ; coffret SPIE ; switch EXYTE</t>
        </is>
      </c>
      <c r="S22" s="17" t="inlineStr">
        <is>
          <t>Tirage 150 ml + intégration 2 h</t>
        </is>
      </c>
    </row>
    <row r="23">
      <c r="A23" s="17" t="n">
        <v>30</v>
      </c>
      <c r="B23" s="17" t="inlineStr">
        <is>
          <t>4</t>
        </is>
      </c>
      <c r="C23" s="17" t="inlineStr">
        <is>
          <t>Fourniture, pose et raccordement liaisons RJ45 CAT6A F/STP bâtiments techniques &amp; extérieurs</t>
        </is>
      </c>
      <c r="D23" s="17" t="inlineStr">
        <is>
          <t>U</t>
        </is>
      </c>
      <c r="E23" s="17" t="n">
        <v>30</v>
      </c>
      <c r="F23" s="18" t="n">
        <v>48.71</v>
      </c>
      <c r="G23" s="18" t="n">
        <v>0</v>
      </c>
      <c r="H23" s="17" t="n">
        <v>2.5</v>
      </c>
      <c r="I23" s="17" t="n">
        <v>0</v>
      </c>
      <c r="J23" s="17" t="n">
        <v>0</v>
      </c>
      <c r="K23" s="17" t="n">
        <v>0</v>
      </c>
      <c r="L23" s="18">
        <f>H23*Paramètres!$B$2+I23*Paramètres!$B$3+J23*Paramètres!$B$4+K23*Paramètres!$B$5</f>
        <v/>
      </c>
      <c r="M23" s="18">
        <f>F23+G23+L23</f>
        <v/>
      </c>
      <c r="N23" s="22">
        <f>Paramètres!$B$6</f>
        <v/>
      </c>
      <c r="O23" s="18">
        <f>ROUND(M23*N23,2)</f>
        <v/>
      </c>
      <c r="P23" s="18">
        <f>O23*E23</f>
        <v/>
      </c>
      <c r="Q23" s="18">
        <f>M23*E23</f>
        <v/>
      </c>
      <c r="R23" s="17" t="inlineStr">
        <is>
          <t>Octet Plus DE044128 du 15/10/2026 : Cat6A ≈60 m + noyaux + plastron + cordons (câble intérieur LSFROH → fourreau obligatoire)</t>
        </is>
      </c>
      <c r="S23" s="17" t="inlineStr">
        <is>
          <t>2,5 h / liaison</t>
        </is>
      </c>
    </row>
    <row r="24">
      <c r="A24" s="17" t="n">
        <v>31</v>
      </c>
      <c r="B24" s="17" t="inlineStr">
        <is>
          <t>4</t>
        </is>
      </c>
      <c r="C24" s="17" t="inlineStr">
        <is>
          <t>Recettage cuivre</t>
        </is>
      </c>
      <c r="D24" s="17" t="inlineStr">
        <is>
          <t>Ens</t>
        </is>
      </c>
      <c r="E24" s="17" t="n">
        <v>1</v>
      </c>
      <c r="F24" s="18" t="n">
        <v>0</v>
      </c>
      <c r="G24" s="18" t="n">
        <v>0</v>
      </c>
      <c r="H24" s="17" t="n">
        <v>0</v>
      </c>
      <c r="I24" s="17" t="n">
        <v>4.5</v>
      </c>
      <c r="J24" s="17" t="n">
        <v>0</v>
      </c>
      <c r="K24" s="17" t="n">
        <v>0</v>
      </c>
      <c r="L24" s="18">
        <f>H24*Paramètres!$B$2+I24*Paramètres!$B$3+J24*Paramètres!$B$4+K24*Paramètres!$B$5</f>
        <v/>
      </c>
      <c r="M24" s="18">
        <f>F24+G24+L24</f>
        <v/>
      </c>
      <c r="N24" s="22">
        <f>Paramètres!$B$6</f>
        <v/>
      </c>
      <c r="O24" s="18">
        <f>ROUND(M24*N24,2)</f>
        <v/>
      </c>
      <c r="P24" s="18">
        <f>O24*E24</f>
        <v/>
      </c>
      <c r="Q24" s="18">
        <f>M24*E24</f>
        <v/>
      </c>
      <c r="R24" s="17" t="inlineStr">
        <is>
          <t>Certification PROSYB</t>
        </is>
      </c>
      <c r="S24" s="17" t="inlineStr">
        <is>
          <t>30 × 0,15 h</t>
        </is>
      </c>
    </row>
    <row r="25">
      <c r="A25" s="17" t="n">
        <v>33</v>
      </c>
      <c r="B25" s="17" t="inlineStr">
        <is>
          <t>4</t>
        </is>
      </c>
      <c r="C25" s="17" t="inlineStr">
        <is>
          <t>Fourniture, pose et raccordement afficheurs chantier extérieur + Support</t>
        </is>
      </c>
      <c r="D25" s="17" t="inlineStr">
        <is>
          <t>U</t>
        </is>
      </c>
      <c r="E25" s="17" t="n">
        <v>6</v>
      </c>
      <c r="F25" s="18" t="n">
        <v>4852.81</v>
      </c>
      <c r="G25" s="23" t="n">
        <v>775</v>
      </c>
      <c r="H25" s="17" t="n">
        <v>6</v>
      </c>
      <c r="I25" s="17" t="n">
        <v>1.5</v>
      </c>
      <c r="J25" s="17" t="n">
        <v>0</v>
      </c>
      <c r="K25" s="17" t="n">
        <v>0</v>
      </c>
      <c r="L25" s="18">
        <f>H25*Paramètres!$B$2+I25*Paramètres!$B$3+J25*Paramètres!$B$4+K25*Paramètres!$B$5</f>
        <v/>
      </c>
      <c r="M25" s="18">
        <f>F25+G25+L25</f>
        <v/>
      </c>
      <c r="N25" s="22">
        <f>Paramètres!$B$6</f>
        <v/>
      </c>
      <c r="O25" s="18">
        <f>ROUND(M25*N25,2)</f>
        <v/>
      </c>
      <c r="P25" s="18">
        <f>O25*E25</f>
        <v/>
      </c>
      <c r="Q25" s="18">
        <f>M25*E25</f>
        <v/>
      </c>
      <c r="R25" s="17" t="inlineStr">
        <is>
          <t>Sonepar AV 0014640130 du 16/10/2026 : Samsung OHDX 55" 3 752 + StiX 450 + licence 450 + switch PoE 164,19 + HDMI 11,58 + D3E/port 25,04 — SUPPORTS NON CHIFFRÉS</t>
        </is>
      </c>
      <c r="S25" s="17" t="inlineStr">
        <is>
          <t>Supports estimatifs : 3 bras antivol 250 € + 3 totems ERARD ≈1 300 € → moy. 775 €/u</t>
        </is>
      </c>
    </row>
    <row r="26">
      <c r="A26" s="17" t="n">
        <v>34</v>
      </c>
      <c r="B26" s="17" t="inlineStr">
        <is>
          <t>4</t>
        </is>
      </c>
      <c r="C26" s="17" t="inlineStr">
        <is>
          <t>Paramétrage</t>
        </is>
      </c>
      <c r="D26" s="17" t="inlineStr">
        <is>
          <t>Ens</t>
        </is>
      </c>
      <c r="E26" s="17" t="n">
        <v>1</v>
      </c>
      <c r="F26" s="18" t="n">
        <v>0</v>
      </c>
      <c r="G26" s="23" t="n">
        <v>1100</v>
      </c>
      <c r="H26" s="17" t="n">
        <v>0</v>
      </c>
      <c r="I26" s="17" t="n">
        <v>16</v>
      </c>
      <c r="J26" s="17" t="n">
        <v>0</v>
      </c>
      <c r="K26" s="17" t="n">
        <v>12</v>
      </c>
      <c r="L26" s="18">
        <f>H26*Paramètres!$B$2+I26*Paramètres!$B$3+J26*Paramètres!$B$4+K26*Paramètres!$B$5</f>
        <v/>
      </c>
      <c r="M26" s="18">
        <f>F26+G26+L26</f>
        <v/>
      </c>
      <c r="N26" s="22">
        <f>Paramètres!$B$6</f>
        <v/>
      </c>
      <c r="O26" s="18">
        <f>ROUND(M26*N26,2)</f>
        <v/>
      </c>
      <c r="P26" s="18">
        <f>O26*E26</f>
        <v/>
      </c>
      <c r="Q26" s="18">
        <f>M26*E26</f>
        <v/>
      </c>
      <c r="R26" s="17" t="inlineStr">
        <is>
          <t>Serveur Navori QL sur site 1 100 € (ESTIMATIF, non chiffré Sonepar)</t>
        </is>
      </c>
      <c r="S26" s="17" t="inlineStr">
        <is>
          <t>Paramétrage 16 lecteurs, groupes, alerte ; BE charte + 10 modèles FR/EN, formation</t>
        </is>
      </c>
    </row>
    <row r="27">
      <c r="A27" s="17" t="n">
        <v>37</v>
      </c>
      <c r="B27" s="17" t="inlineStr">
        <is>
          <t>4</t>
        </is>
      </c>
      <c r="C27" s="17" t="inlineStr">
        <is>
          <t>Fourniture, pose et raccordement répartiteur informatique principal dans poste énergie Hub 3, incluant switch PoE</t>
        </is>
      </c>
      <c r="D27" s="17" t="inlineStr">
        <is>
          <t>Ens</t>
        </is>
      </c>
      <c r="E27" s="17" t="n">
        <v>1</v>
      </c>
      <c r="F27" s="18" t="n">
        <v>634.85</v>
      </c>
      <c r="G27" s="18" t="n">
        <v>0</v>
      </c>
      <c r="H27" s="17" t="n">
        <v>0</v>
      </c>
      <c r="I27" s="17" t="n">
        <v>5</v>
      </c>
      <c r="J27" s="17" t="n">
        <v>0</v>
      </c>
      <c r="K27" s="17" t="n">
        <v>0</v>
      </c>
      <c r="L27" s="18">
        <f>H27*Paramètres!$B$2+I27*Paramètres!$B$3+J27*Paramètres!$B$4+K27*Paramètres!$B$5</f>
        <v/>
      </c>
      <c r="M27" s="18">
        <f>F27+G27+L27</f>
        <v/>
      </c>
      <c r="N27" s="22">
        <f>Paramètres!$B$6</f>
        <v/>
      </c>
      <c r="O27" s="18">
        <f>ROUND(M27*N27,2)</f>
        <v/>
      </c>
      <c r="P27" s="18">
        <f>O27*E27</f>
        <v/>
      </c>
      <c r="Q27" s="18">
        <f>M27*E27</f>
        <v/>
      </c>
      <c r="R27" s="17" t="inlineStr">
        <is>
          <t>Octet Plus DE044128 du 15/10/2026 : baie 42U + bandeau ; switch EXYTE</t>
        </is>
      </c>
      <c r="S27" s="17" t="inlineStr">
        <is>
          <t>Pose baie + switch</t>
        </is>
      </c>
    </row>
    <row r="28">
      <c r="A28" s="17" t="n">
        <v>38</v>
      </c>
      <c r="B28" s="17" t="inlineStr">
        <is>
          <t>4</t>
        </is>
      </c>
      <c r="C28" s="17" t="inlineStr">
        <is>
          <t>Fourniture, pose et raccordement fibre OS2 12 brins depuis répartiteur principal poste énergie Hub 1 vers répartiteur principal poste énergie Hub 3</t>
        </is>
      </c>
      <c r="D28" s="17" t="inlineStr">
        <is>
          <t>Ens</t>
        </is>
      </c>
      <c r="E28" s="17" t="n">
        <v>1</v>
      </c>
      <c r="F28" s="18" t="n">
        <v>753.92</v>
      </c>
      <c r="G28" s="18" t="n">
        <v>0</v>
      </c>
      <c r="H28" s="17" t="n">
        <v>3.75</v>
      </c>
      <c r="I28" s="17" t="n">
        <v>0</v>
      </c>
      <c r="J28" s="17" t="n">
        <v>0</v>
      </c>
      <c r="K28" s="17" t="n">
        <v>0</v>
      </c>
      <c r="L28" s="18">
        <f>H28*Paramètres!$B$2+I28*Paramètres!$B$3+J28*Paramètres!$B$4+K28*Paramètres!$B$5</f>
        <v/>
      </c>
      <c r="M28" s="18">
        <f>F28+G28+L28</f>
        <v/>
      </c>
      <c r="N28" s="22">
        <f>Paramètres!$B$6</f>
        <v/>
      </c>
      <c r="O28" s="18">
        <f>ROUND(M28*N28,2)</f>
        <v/>
      </c>
      <c r="P28" s="18">
        <f>O28*E28</f>
        <v/>
      </c>
      <c r="Q28" s="18">
        <f>M28*E28</f>
        <v/>
      </c>
      <c r="R28" s="17" t="inlineStr">
        <is>
          <t>Octet Plus DE044128 du 15/10/2026 : OS2 ≈150 ml + tronçon</t>
        </is>
      </c>
      <c r="S28" s="17" t="inlineStr">
        <is>
          <t>Tirage 150 ml</t>
        </is>
      </c>
    </row>
    <row r="29">
      <c r="A29" s="17" t="n">
        <v>39</v>
      </c>
      <c r="B29" s="17" t="inlineStr">
        <is>
          <t>4</t>
        </is>
      </c>
      <c r="C29" s="17" t="inlineStr">
        <is>
          <t>Fourniture, pose et raccordement fibre OS2 12 brins depuis répartiteur principal poste énergie Hub 3 vers répartiteurs secondaires A (Ilots 1 à 10)</t>
        </is>
      </c>
      <c r="D29" s="17" t="inlineStr">
        <is>
          <t>Ens</t>
        </is>
      </c>
      <c r="E29" s="17" t="n">
        <v>1</v>
      </c>
      <c r="F29" s="18" t="n">
        <v>818.2</v>
      </c>
      <c r="G29" s="18" t="n">
        <v>0</v>
      </c>
      <c r="H29" s="17" t="n">
        <v>5</v>
      </c>
      <c r="I29" s="17" t="n">
        <v>0</v>
      </c>
      <c r="J29" s="17" t="n">
        <v>0</v>
      </c>
      <c r="K29" s="17" t="n">
        <v>0</v>
      </c>
      <c r="L29" s="18">
        <f>H29*Paramètres!$B$2+I29*Paramètres!$B$3+J29*Paramètres!$B$4+K29*Paramètres!$B$5</f>
        <v/>
      </c>
      <c r="M29" s="18">
        <f>F29+G29+L29</f>
        <v/>
      </c>
      <c r="N29" s="22">
        <f>Paramètres!$B$6</f>
        <v/>
      </c>
      <c r="O29" s="18">
        <f>ROUND(M29*N29,2)</f>
        <v/>
      </c>
      <c r="P29" s="18">
        <f>O29*E29</f>
        <v/>
      </c>
      <c r="Q29" s="18">
        <f>M29*E29</f>
        <v/>
      </c>
      <c r="R29" s="17" t="inlineStr">
        <is>
          <t>Octet Plus DE044128 du 15/10/2026 : OS2 ≈200 ml + tronçon</t>
        </is>
      </c>
      <c r="S29" s="17" t="inlineStr">
        <is>
          <t>Tirage 200 ml</t>
        </is>
      </c>
    </row>
    <row r="30">
      <c r="A30" s="17" t="n">
        <v>40</v>
      </c>
      <c r="B30" s="17" t="inlineStr">
        <is>
          <t>4</t>
        </is>
      </c>
      <c r="C30" s="17" t="inlineStr">
        <is>
          <t>Fourniture, pose et raccordement fibre OS2 12 brins depuis répartiteur principal poste énergie Hub 3 vers répartiteurs secondaires B (Ilots 11 à 20)</t>
        </is>
      </c>
      <c r="D30" s="17" t="inlineStr">
        <is>
          <t>Ens</t>
        </is>
      </c>
      <c r="E30" s="17" t="n">
        <v>1</v>
      </c>
      <c r="F30" s="18" t="n">
        <v>818.2</v>
      </c>
      <c r="G30" s="18" t="n">
        <v>0</v>
      </c>
      <c r="H30" s="17" t="n">
        <v>5</v>
      </c>
      <c r="I30" s="17" t="n">
        <v>0</v>
      </c>
      <c r="J30" s="17" t="n">
        <v>0</v>
      </c>
      <c r="K30" s="17" t="n">
        <v>0</v>
      </c>
      <c r="L30" s="18">
        <f>H30*Paramètres!$B$2+I30*Paramètres!$B$3+J30*Paramètres!$B$4+K30*Paramètres!$B$5</f>
        <v/>
      </c>
      <c r="M30" s="18">
        <f>F30+G30+L30</f>
        <v/>
      </c>
      <c r="N30" s="22">
        <f>Paramètres!$B$6</f>
        <v/>
      </c>
      <c r="O30" s="18">
        <f>ROUND(M30*N30,2)</f>
        <v/>
      </c>
      <c r="P30" s="18">
        <f>O30*E30</f>
        <v/>
      </c>
      <c r="Q30" s="18">
        <f>M30*E30</f>
        <v/>
      </c>
      <c r="R30" s="17" t="inlineStr">
        <is>
          <t>Octet Plus DE044128 du 15/10/2026 : OS2 ≈200 ml + tronçon</t>
        </is>
      </c>
      <c r="S30" s="17" t="inlineStr">
        <is>
          <t>Tirage 200 ml</t>
        </is>
      </c>
    </row>
    <row r="31">
      <c r="A31" s="17" t="n">
        <v>41</v>
      </c>
      <c r="B31" s="17" t="inlineStr">
        <is>
          <t>4</t>
        </is>
      </c>
      <c r="C31" s="17" t="inlineStr">
        <is>
          <t>Paramétrage équipements informatiques</t>
        </is>
      </c>
      <c r="D31" s="17" t="inlineStr">
        <is>
          <t>Ens</t>
        </is>
      </c>
      <c r="E31" s="17" t="n">
        <v>1</v>
      </c>
      <c r="F31" s="18" t="n">
        <v>0</v>
      </c>
      <c r="G31" s="18" t="n">
        <v>0</v>
      </c>
      <c r="H31" s="17" t="n">
        <v>0</v>
      </c>
      <c r="I31" s="17" t="n">
        <v>16</v>
      </c>
      <c r="J31" s="17" t="n">
        <v>0</v>
      </c>
      <c r="K31" s="17" t="n">
        <v>8</v>
      </c>
      <c r="L31" s="18">
        <f>H31*Paramètres!$B$2+I31*Paramètres!$B$3+J31*Paramètres!$B$4+K31*Paramètres!$B$5</f>
        <v/>
      </c>
      <c r="M31" s="18">
        <f>F31+G31+L31</f>
        <v/>
      </c>
      <c r="N31" s="22">
        <f>Paramètres!$B$6</f>
        <v/>
      </c>
      <c r="O31" s="18">
        <f>ROUND(M31*N31,2)</f>
        <v/>
      </c>
      <c r="P31" s="18">
        <f>O31*E31</f>
        <v/>
      </c>
      <c r="Q31" s="18">
        <f>M31*E31</f>
        <v/>
      </c>
      <c r="R31" s="17" t="inlineStr">
        <is>
          <t>MO PROSYB</t>
        </is>
      </c>
      <c r="S31" s="17" t="inlineStr">
        <is>
          <t>Cœur Hub 3 + piles A/B + bascule</t>
        </is>
      </c>
    </row>
    <row r="32">
      <c r="A32" s="17" t="n">
        <v>42</v>
      </c>
      <c r="B32" s="17" t="inlineStr">
        <is>
          <t>4</t>
        </is>
      </c>
      <c r="C32" s="17" t="inlineStr">
        <is>
          <t>Test de réfléctométrie</t>
        </is>
      </c>
      <c r="D32" s="17" t="inlineStr">
        <is>
          <t>Ens</t>
        </is>
      </c>
      <c r="E32" s="17" t="n">
        <v>1</v>
      </c>
      <c r="F32" s="18" t="n">
        <v>0</v>
      </c>
      <c r="G32" s="18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8">
        <f>H32*Paramètres!$B$2+I32*Paramètres!$B$3+J32*Paramètres!$B$4+K32*Paramètres!$B$5</f>
        <v/>
      </c>
      <c r="M32" s="18">
        <f>F32+G32+L32</f>
        <v/>
      </c>
      <c r="N32" s="22">
        <f>Paramètres!$B$6</f>
        <v/>
      </c>
      <c r="O32" s="18">
        <f>ROUND(M32*N32,2)</f>
        <v/>
      </c>
      <c r="P32" s="18">
        <f>O32*E32</f>
        <v/>
      </c>
      <c r="Q32" s="18">
        <f>M32*E32</f>
        <v/>
      </c>
      <c r="R32" s="17" t="inlineStr">
        <is>
          <t>Incluse lignes fibre (Octet Plus, 4 phases)</t>
        </is>
      </c>
      <c r="S32" s="17" t="inlineStr">
        <is>
          <t>Sans MO</t>
        </is>
      </c>
    </row>
    <row r="33">
      <c r="A33" s="17" t="n">
        <v>44</v>
      </c>
      <c r="B33" s="17" t="inlineStr">
        <is>
          <t>4</t>
        </is>
      </c>
      <c r="C33" s="17" t="inlineStr">
        <is>
          <t>Fourniture, pose et raccordement répartiteur informatique secondaires base vie phase 4, incluant switch PoE</t>
        </is>
      </c>
      <c r="D33" s="17" t="inlineStr">
        <is>
          <t>U</t>
        </is>
      </c>
      <c r="E33" s="17" t="n">
        <v>2</v>
      </c>
      <c r="F33" s="18" t="n">
        <v>634.85</v>
      </c>
      <c r="G33" s="18" t="n">
        <v>0</v>
      </c>
      <c r="H33" s="17" t="n">
        <v>0</v>
      </c>
      <c r="I33" s="17" t="n">
        <v>5</v>
      </c>
      <c r="J33" s="17" t="n">
        <v>0</v>
      </c>
      <c r="K33" s="17" t="n">
        <v>0</v>
      </c>
      <c r="L33" s="18">
        <f>H33*Paramètres!$B$2+I33*Paramètres!$B$3+J33*Paramètres!$B$4+K33*Paramètres!$B$5</f>
        <v/>
      </c>
      <c r="M33" s="18">
        <f>F33+G33+L33</f>
        <v/>
      </c>
      <c r="N33" s="22">
        <f>Paramètres!$B$6</f>
        <v/>
      </c>
      <c r="O33" s="18">
        <f>ROUND(M33*N33,2)</f>
        <v/>
      </c>
      <c r="P33" s="18">
        <f>O33*E33</f>
        <v/>
      </c>
      <c r="Q33" s="18">
        <f>M33*E33</f>
        <v/>
      </c>
      <c r="R33" s="17" t="inlineStr">
        <is>
          <t>Octet Plus DE044128 du 15/10/2026 : baie 42U + bandeau ; switchs EXYTE</t>
        </is>
      </c>
      <c r="S33" s="17" t="inlineStr">
        <is>
          <t>Pose baie + switchs</t>
        </is>
      </c>
    </row>
    <row r="34">
      <c r="A34" s="17" t="n">
        <v>45</v>
      </c>
      <c r="B34" s="17" t="inlineStr">
        <is>
          <t>4</t>
        </is>
      </c>
      <c r="C34" s="17" t="inlineStr">
        <is>
          <t>Fourniture, pose et raccordement liaisons RJ45 CAT6A F/STP répartiteur informatique secondaire vers équipements (postes de travail CAD + bornes WiFi), 18 prises RJ45 par îlot, soit 360 prises RJ45</t>
        </is>
      </c>
      <c r="D34" s="17" t="inlineStr">
        <is>
          <t>Ens</t>
        </is>
      </c>
      <c r="E34" s="17" t="n">
        <v>1</v>
      </c>
      <c r="F34" s="18" t="n">
        <v>11561.43</v>
      </c>
      <c r="G34" s="18" t="n">
        <v>0</v>
      </c>
      <c r="H34" s="17" t="n">
        <v>432</v>
      </c>
      <c r="I34" s="17" t="n">
        <v>0</v>
      </c>
      <c r="J34" s="17" t="n">
        <v>0</v>
      </c>
      <c r="K34" s="17" t="n">
        <v>0</v>
      </c>
      <c r="L34" s="18">
        <f>H34*Paramètres!$B$2+I34*Paramètres!$B$3+J34*Paramètres!$B$4+K34*Paramètres!$B$5</f>
        <v/>
      </c>
      <c r="M34" s="18">
        <f>F34+G34+L34</f>
        <v/>
      </c>
      <c r="N34" s="22">
        <f>Paramètres!$B$6</f>
        <v/>
      </c>
      <c r="O34" s="18">
        <f>ROUND(M34*N34,2)</f>
        <v/>
      </c>
      <c r="P34" s="18">
        <f>O34*E34</f>
        <v/>
      </c>
      <c r="Q34" s="18">
        <f>M34*E34</f>
        <v/>
      </c>
      <c r="R34" s="17" t="inlineStr">
        <is>
          <t>Octet Plus DE044128 du 15/10/2026 : 360 liens Cat6A ≈35 m — pose non incluse</t>
        </is>
      </c>
      <c r="S34" s="17" t="inlineStr">
        <is>
          <t>360 × 1,2 h</t>
        </is>
      </c>
    </row>
    <row r="35">
      <c r="A35" s="17" t="n">
        <v>46</v>
      </c>
      <c r="B35" s="17" t="inlineStr">
        <is>
          <t>4</t>
        </is>
      </c>
      <c r="C35" s="17" t="inlineStr">
        <is>
          <t>Pose et raccordement borne WiFi</t>
        </is>
      </c>
      <c r="D35" s="17" t="inlineStr">
        <is>
          <t>U</t>
        </is>
      </c>
      <c r="E35" s="17" t="n">
        <v>60</v>
      </c>
      <c r="F35" s="18" t="n">
        <v>0</v>
      </c>
      <c r="G35" s="18" t="n">
        <v>0</v>
      </c>
      <c r="H35" s="17" t="n">
        <v>0.75</v>
      </c>
      <c r="I35" s="17" t="n">
        <v>0.25</v>
      </c>
      <c r="J35" s="17" t="n">
        <v>0</v>
      </c>
      <c r="K35" s="17" t="n">
        <v>0</v>
      </c>
      <c r="L35" s="18">
        <f>H35*Paramètres!$B$2+I35*Paramètres!$B$3+J35*Paramètres!$B$4+K35*Paramètres!$B$5</f>
        <v/>
      </c>
      <c r="M35" s="18">
        <f>F35+G35+L35</f>
        <v/>
      </c>
      <c r="N35" s="22">
        <f>Paramètres!$B$6</f>
        <v/>
      </c>
      <c r="O35" s="18">
        <f>ROUND(M35*N35,2)</f>
        <v/>
      </c>
      <c r="P35" s="18">
        <f>O35*E35</f>
        <v/>
      </c>
      <c r="Q35" s="18">
        <f>M35*E35</f>
        <v/>
      </c>
      <c r="R35" s="17" t="inlineStr">
        <is>
          <t>Bornes fournies par EXYTE (à confirmer)</t>
        </is>
      </c>
      <c r="S35" s="17" t="inlineStr">
        <is>
          <t>0,75 h + 0,25 h</t>
        </is>
      </c>
    </row>
    <row r="36">
      <c r="A36" s="17" t="n">
        <v>47</v>
      </c>
      <c r="B36" s="17" t="inlineStr">
        <is>
          <t>4</t>
        </is>
      </c>
      <c r="C36" s="17" t="inlineStr">
        <is>
          <t>Recettage cuivre</t>
        </is>
      </c>
      <c r="D36" s="17" t="inlineStr">
        <is>
          <t>Ens</t>
        </is>
      </c>
      <c r="E36" s="17" t="n">
        <v>1</v>
      </c>
      <c r="F36" s="18" t="n">
        <v>0</v>
      </c>
      <c r="G36" s="18" t="n">
        <v>0</v>
      </c>
      <c r="H36" s="17" t="n">
        <v>0</v>
      </c>
      <c r="I36" s="17" t="n">
        <v>38</v>
      </c>
      <c r="J36" s="17" t="n">
        <v>0</v>
      </c>
      <c r="K36" s="17" t="n">
        <v>0</v>
      </c>
      <c r="L36" s="18">
        <f>H36*Paramètres!$B$2+I36*Paramètres!$B$3+J36*Paramètres!$B$4+K36*Paramètres!$B$5</f>
        <v/>
      </c>
      <c r="M36" s="18">
        <f>F36+G36+L36</f>
        <v/>
      </c>
      <c r="N36" s="22">
        <f>Paramètres!$B$6</f>
        <v/>
      </c>
      <c r="O36" s="18">
        <f>ROUND(M36*N36,2)</f>
        <v/>
      </c>
      <c r="P36" s="18">
        <f>O36*E36</f>
        <v/>
      </c>
      <c r="Q36" s="18">
        <f>M36*E36</f>
        <v/>
      </c>
      <c r="R36" s="17" t="inlineStr">
        <is>
          <t>Certification PROSYB</t>
        </is>
      </c>
      <c r="S36" s="17" t="inlineStr">
        <is>
          <t>360 × 0,1 h + rapports</t>
        </is>
      </c>
    </row>
    <row r="37">
      <c r="A37" s="17" t="n">
        <v>52</v>
      </c>
      <c r="B37" s="17" t="inlineStr">
        <is>
          <t>5</t>
        </is>
      </c>
      <c r="C37" s="17" t="inlineStr">
        <is>
          <t>Fourniture, pose et raccordement coffret report de contact SSI poste de garde principal</t>
        </is>
      </c>
      <c r="D37" s="17" t="inlineStr">
        <is>
          <t>Ens</t>
        </is>
      </c>
      <c r="E37" s="17" t="n">
        <v>1</v>
      </c>
      <c r="F37" s="18" t="n">
        <v>0</v>
      </c>
      <c r="G37" s="23" t="n">
        <v>1900</v>
      </c>
      <c r="H37" s="17" t="n">
        <v>0</v>
      </c>
      <c r="I37" s="17" t="n">
        <v>0</v>
      </c>
      <c r="J37" s="17" t="n">
        <v>4</v>
      </c>
      <c r="K37" s="17" t="n">
        <v>0</v>
      </c>
      <c r="L37" s="18">
        <f>H37*Paramètres!$B$2+I37*Paramètres!$B$3+J37*Paramètres!$B$4+K37*Paramètres!$B$5</f>
        <v/>
      </c>
      <c r="M37" s="18">
        <f>F37+G37+L37</f>
        <v/>
      </c>
      <c r="N37" s="22">
        <f>Paramètres!$B$7</f>
        <v/>
      </c>
      <c r="O37" s="18">
        <f>ROUND(M37*N37,2)</f>
        <v/>
      </c>
      <c r="P37" s="18">
        <f>O37*E37</f>
        <v/>
      </c>
      <c r="Q37" s="18">
        <f>M37*E37</f>
        <v/>
      </c>
      <c r="R37" s="17" t="inlineStr">
        <is>
          <t>Coffret reports ≈30 contacts type SREI CA32 1 900 € (ESTIMATIF, acceptation report SSI à valider)</t>
        </is>
      </c>
      <c r="S37" s="17" t="inlineStr">
        <is>
          <t>Pose + câblage interne 4 h</t>
        </is>
      </c>
    </row>
    <row r="38">
      <c r="A38" s="17" t="n">
        <v>53</v>
      </c>
      <c r="B38" s="17" t="inlineStr">
        <is>
          <t>5</t>
        </is>
      </c>
      <c r="C38" s="17" t="inlineStr">
        <is>
          <t>Fourniture, pose et raccordement liaisons coffret report de contact SSI vers alarmes BAAS SSI îlots 1 et 2, poste de garde, poste énergie Hub 1</t>
        </is>
      </c>
      <c r="D38" s="17" t="inlineStr">
        <is>
          <t>Ens</t>
        </is>
      </c>
      <c r="E38" s="17" t="n">
        <v>1</v>
      </c>
      <c r="F38" s="18" t="n">
        <v>0</v>
      </c>
      <c r="G38" s="23" t="n">
        <v>3948</v>
      </c>
      <c r="H38" s="17" t="n">
        <v>32.4</v>
      </c>
      <c r="I38" s="17" t="n">
        <v>0</v>
      </c>
      <c r="J38" s="17" t="n">
        <v>5</v>
      </c>
      <c r="K38" s="17" t="n">
        <v>0</v>
      </c>
      <c r="L38" s="18">
        <f>H38*Paramètres!$B$2+I38*Paramètres!$B$3+J38*Paramètres!$B$4+K38*Paramètres!$B$5</f>
        <v/>
      </c>
      <c r="M38" s="18">
        <f>F38+G38+L38</f>
        <v/>
      </c>
      <c r="N38" s="22">
        <f>Paramètres!$B$7</f>
        <v/>
      </c>
      <c r="O38" s="18">
        <f>ROUND(M38*N38,2)</f>
        <v/>
      </c>
      <c r="P38" s="18">
        <f>O38*E38</f>
        <v/>
      </c>
      <c r="Q38" s="18">
        <f>M38*E38</f>
        <v/>
      </c>
      <c r="R38" s="17" t="inlineStr">
        <is>
          <t>CR1-C1 5G1,5 / 7G1,5 (ESTIMATIF, consultation câbles L19 en cours)</t>
        </is>
      </c>
      <c r="S38" s="17" t="inlineStr">
        <is>
          <t>Tirage 1 080 m à 3 h/100 m + 5 raccordements</t>
        </is>
      </c>
    </row>
    <row r="39">
      <c r="A39" s="17" t="n">
        <v>54</v>
      </c>
      <c r="B39" s="17" t="inlineStr">
        <is>
          <t>5</t>
        </is>
      </c>
      <c r="C39" s="17" t="inlineStr">
        <is>
          <t>Fourniture, pose et raccordement centrale type 3 SSI poste de garde, y compris déclencheurs manuels et sirenes</t>
        </is>
      </c>
      <c r="D39" s="17" t="inlineStr">
        <is>
          <t>Ens</t>
        </is>
      </c>
      <c r="E39" s="17" t="n">
        <v>1</v>
      </c>
      <c r="F39" s="18" t="n">
        <v>327.4</v>
      </c>
      <c r="G39" s="18" t="n">
        <v>0</v>
      </c>
      <c r="H39" s="17" t="n">
        <v>0</v>
      </c>
      <c r="I39" s="17" t="n">
        <v>0</v>
      </c>
      <c r="J39" s="17" t="n">
        <v>4</v>
      </c>
      <c r="K39" s="17" t="n">
        <v>0</v>
      </c>
      <c r="L39" s="18">
        <f>H39*Paramètres!$B$2+I39*Paramètres!$B$3+J39*Paramètres!$B$4+K39*Paramètres!$B$5</f>
        <v/>
      </c>
      <c r="M39" s="18">
        <f>F39+G39+L39</f>
        <v/>
      </c>
      <c r="N39" s="22">
        <f>Paramètres!$B$7</f>
        <v/>
      </c>
      <c r="O39" s="18">
        <f>ROUND(M39*N39,2)</f>
        <v/>
      </c>
      <c r="P39" s="18">
        <f>O39*E39</f>
        <v/>
      </c>
      <c r="Q39" s="18">
        <f>M39*E39</f>
        <v/>
      </c>
      <c r="R39" s="17" t="inlineStr">
        <is>
          <t>AVISS AE2610CO901 v2 du 13/10/2026 : CONCEPT 3 177 + DM 4710R1 23,40 + capot 4 + TMS-300 98 + port 25</t>
        </is>
      </c>
      <c r="S39" s="17" t="inlineStr">
        <is>
          <t>Pose + câblage 4 h</t>
        </is>
      </c>
    </row>
    <row r="40">
      <c r="A40" s="17" t="n">
        <v>55</v>
      </c>
      <c r="B40" s="17" t="inlineStr">
        <is>
          <t>5</t>
        </is>
      </c>
      <c r="C40" s="17" t="inlineStr">
        <is>
          <t>Fourniture, pose et raccordement centrale type 3 SSI Poste Energie Hub 1, y compris déclencheurs manuels et sirenes</t>
        </is>
      </c>
      <c r="D40" s="17" t="inlineStr">
        <is>
          <t>Ens</t>
        </is>
      </c>
      <c r="E40" s="17" t="n">
        <v>1</v>
      </c>
      <c r="F40" s="18" t="n">
        <v>302.4</v>
      </c>
      <c r="G40" s="18" t="n">
        <v>0</v>
      </c>
      <c r="H40" s="17" t="n">
        <v>0</v>
      </c>
      <c r="I40" s="17" t="n">
        <v>0</v>
      </c>
      <c r="J40" s="17" t="n">
        <v>4</v>
      </c>
      <c r="K40" s="17" t="n">
        <v>0</v>
      </c>
      <c r="L40" s="18">
        <f>H40*Paramètres!$B$2+I40*Paramètres!$B$3+J40*Paramètres!$B$4+K40*Paramètres!$B$5</f>
        <v/>
      </c>
      <c r="M40" s="18">
        <f>F40+G40+L40</f>
        <v/>
      </c>
      <c r="N40" s="22">
        <f>Paramètres!$B$7</f>
        <v/>
      </c>
      <c r="O40" s="18">
        <f>ROUND(M40*N40,2)</f>
        <v/>
      </c>
      <c r="P40" s="18">
        <f>O40*E40</f>
        <v/>
      </c>
      <c r="Q40" s="18">
        <f>M40*E40</f>
        <v/>
      </c>
      <c r="R40" s="17" t="inlineStr">
        <is>
          <t>AVISS AE2610CO901 v2 du 13/10/2026 : CONCEPT 3 + DM + capot + TMS-300</t>
        </is>
      </c>
      <c r="S40" s="17" t="inlineStr">
        <is>
          <t>Idem</t>
        </is>
      </c>
    </row>
    <row r="41">
      <c r="A41" s="17" t="n">
        <v>56</v>
      </c>
      <c r="B41" s="17" t="inlineStr">
        <is>
          <t>5</t>
        </is>
      </c>
      <c r="C41" s="17" t="inlineStr">
        <is>
          <t>Fourniture, pose et raccordement centrale type 3 SSI Poste Energie Hub 2, y compris déclencheurs manuels et sirenes</t>
        </is>
      </c>
      <c r="D41" s="17" t="inlineStr">
        <is>
          <t>Ens</t>
        </is>
      </c>
      <c r="E41" s="17" t="n">
        <v>1</v>
      </c>
      <c r="F41" s="18" t="n">
        <v>357.2</v>
      </c>
      <c r="G41" s="18" t="n">
        <v>0</v>
      </c>
      <c r="H41" s="17" t="n">
        <v>0</v>
      </c>
      <c r="I41" s="17" t="n">
        <v>0</v>
      </c>
      <c r="J41" s="17" t="n">
        <v>5</v>
      </c>
      <c r="K41" s="17" t="n">
        <v>0</v>
      </c>
      <c r="L41" s="18">
        <f>H41*Paramètres!$B$2+I41*Paramètres!$B$3+J41*Paramètres!$B$4+K41*Paramètres!$B$5</f>
        <v/>
      </c>
      <c r="M41" s="18">
        <f>F41+G41+L41</f>
        <v/>
      </c>
      <c r="N41" s="22">
        <f>Paramètres!$B$7</f>
        <v/>
      </c>
      <c r="O41" s="18">
        <f>ROUND(M41*N41,2)</f>
        <v/>
      </c>
      <c r="P41" s="18">
        <f>O41*E41</f>
        <v/>
      </c>
      <c r="Q41" s="18">
        <f>M41*E41</f>
        <v/>
      </c>
      <c r="R41" s="17" t="inlineStr">
        <is>
          <t>AVISS AE2610CO901 v2 du 13/10/2026 : CONCEPT 3 + 3 DM + 3 capots + TMS-300</t>
        </is>
      </c>
      <c r="S41" s="17" t="inlineStr">
        <is>
          <t>Idem + 2 DM</t>
        </is>
      </c>
    </row>
    <row r="42">
      <c r="A42" s="17" t="n">
        <v>58</v>
      </c>
      <c r="B42" s="17" t="inlineStr">
        <is>
          <t>5</t>
        </is>
      </c>
      <c r="C42" s="17" t="inlineStr">
        <is>
          <t>Fourniture, pose et raccordement déclencheurs manuels chantier</t>
        </is>
      </c>
      <c r="D42" s="17" t="inlineStr">
        <is>
          <t>Ens</t>
        </is>
      </c>
      <c r="E42" s="17" t="n">
        <v>1</v>
      </c>
      <c r="F42" s="18" t="n">
        <v>1376</v>
      </c>
      <c r="G42" s="23" t="n">
        <v>1792</v>
      </c>
      <c r="H42" s="17" t="n">
        <v>54.4</v>
      </c>
      <c r="I42" s="17" t="n">
        <v>0</v>
      </c>
      <c r="J42" s="17" t="n">
        <v>8</v>
      </c>
      <c r="K42" s="17" t="n">
        <v>0</v>
      </c>
      <c r="L42" s="18">
        <f>H42*Paramètres!$B$2+I42*Paramètres!$B$3+J42*Paramètres!$B$4+K42*Paramètres!$B$5</f>
        <v/>
      </c>
      <c r="M42" s="18">
        <f>F42+G42+L42</f>
        <v/>
      </c>
      <c r="N42" s="22">
        <f>Paramètres!$B$7</f>
        <v/>
      </c>
      <c r="O42" s="18">
        <f>ROUND(M42*N42,2)</f>
        <v/>
      </c>
      <c r="P42" s="18">
        <f>O42*E42</f>
        <v/>
      </c>
      <c r="Q42" s="18">
        <f>M42*E42</f>
        <v/>
      </c>
      <c r="R42" s="17" t="inlineStr">
        <is>
          <t>AVISS AE2610CO901 v2 du 13/10/2026 : 16 DM étanches IP65 4713R1C à 86 € ; câble CR1-C1 2×1,5 ESTIMATIF</t>
        </is>
      </c>
      <c r="S42" s="17" t="inlineStr">
        <is>
          <t>Tirage 1 280 m + pose 1 h/DM + racc. 0,5 h</t>
        </is>
      </c>
    </row>
    <row r="43">
      <c r="A43" s="17" t="n">
        <v>59</v>
      </c>
      <c r="B43" s="17" t="inlineStr">
        <is>
          <t>5</t>
        </is>
      </c>
      <c r="C43" s="17" t="inlineStr">
        <is>
          <t>Fourniture, pose et raccordement diffuseurs sonores chantier</t>
        </is>
      </c>
      <c r="D43" s="17" t="inlineStr">
        <is>
          <t>Ens</t>
        </is>
      </c>
      <c r="E43" s="17" t="n">
        <v>1</v>
      </c>
      <c r="F43" s="18" t="n">
        <v>2124</v>
      </c>
      <c r="G43" s="23" t="n">
        <v>1824</v>
      </c>
      <c r="H43" s="17" t="n">
        <v>40.8</v>
      </c>
      <c r="I43" s="17" t="n">
        <v>0</v>
      </c>
      <c r="J43" s="17" t="n">
        <v>6</v>
      </c>
      <c r="K43" s="17" t="n">
        <v>0</v>
      </c>
      <c r="L43" s="18">
        <f>H43*Paramètres!$B$2+I43*Paramètres!$B$3+J43*Paramètres!$B$4+K43*Paramètres!$B$5</f>
        <v/>
      </c>
      <c r="M43" s="18">
        <f>F43+G43+L43</f>
        <v/>
      </c>
      <c r="N43" s="22">
        <f>Paramètres!$B$7</f>
        <v/>
      </c>
      <c r="O43" s="18">
        <f>ROUND(M43*N43,2)</f>
        <v/>
      </c>
      <c r="P43" s="18">
        <f>O43*E43</f>
        <v/>
      </c>
      <c r="Q43" s="18">
        <f>M43*E43</f>
        <v/>
      </c>
      <c r="R43" s="17" t="inlineStr">
        <is>
          <t>AVISS AE2610CO901 v2 du 13/10/2026 : 12 CONCEPT 3 (IP45, pose sous abri) à 177 € ; câble CR1-C1 3G1,5 ESTIMATIF</t>
        </is>
      </c>
      <c r="S43" s="17" t="inlineStr">
        <is>
          <t>Tirage 960 m + pose + racc.</t>
        </is>
      </c>
    </row>
    <row r="44">
      <c r="A44" s="17" t="n">
        <v>60</v>
      </c>
      <c r="B44" s="17" t="inlineStr">
        <is>
          <t>5</t>
        </is>
      </c>
      <c r="C44" s="17" t="inlineStr">
        <is>
          <t>Paramétrage et mise en service</t>
        </is>
      </c>
      <c r="D44" s="17" t="inlineStr">
        <is>
          <t>Ens</t>
        </is>
      </c>
      <c r="E44" s="17" t="n">
        <v>1</v>
      </c>
      <c r="F44" s="18" t="n">
        <v>0</v>
      </c>
      <c r="G44" s="18" t="n">
        <v>0</v>
      </c>
      <c r="H44" s="17" t="n">
        <v>0</v>
      </c>
      <c r="I44" s="17" t="n">
        <v>0</v>
      </c>
      <c r="J44" s="17" t="n">
        <v>8</v>
      </c>
      <c r="K44" s="17" t="n">
        <v>8</v>
      </c>
      <c r="L44" s="18">
        <f>H44*Paramètres!$B$2+I44*Paramètres!$B$3+J44*Paramètres!$B$4+K44*Paramètres!$B$5</f>
        <v/>
      </c>
      <c r="M44" s="18">
        <f>F44+G44+L44</f>
        <v/>
      </c>
      <c r="N44" s="22">
        <f>Paramètres!$B$7</f>
        <v/>
      </c>
      <c r="O44" s="18">
        <f>ROUND(M44*N44,2)</f>
        <v/>
      </c>
      <c r="P44" s="18">
        <f>O44*E44</f>
        <v/>
      </c>
      <c r="Q44" s="18">
        <f>M44*E44</f>
        <v/>
      </c>
      <c r="R44" s="17" t="inlineStr">
        <is>
          <t>MO PROSYB</t>
        </is>
      </c>
      <c r="S44" s="17" t="inlineStr">
        <is>
          <t>Programmation, essais, PV ; BE synoptique, DOE</t>
        </is>
      </c>
    </row>
    <row r="45">
      <c r="A45" s="17" t="n">
        <v>62</v>
      </c>
      <c r="B45" s="17" t="inlineStr">
        <is>
          <t>5</t>
        </is>
      </c>
      <c r="C45" s="17" t="inlineStr">
        <is>
          <t>Fourniture, pose et raccordement liaisons coffret report de contact SSI vers centrales SSI îlots 3 à 10</t>
        </is>
      </c>
      <c r="D45" s="17" t="inlineStr">
        <is>
          <t>Ens</t>
        </is>
      </c>
      <c r="E45" s="17" t="n">
        <v>1</v>
      </c>
      <c r="F45" s="18" t="n">
        <v>0</v>
      </c>
      <c r="G45" s="23" t="n">
        <v>5800</v>
      </c>
      <c r="H45" s="17" t="n">
        <v>60</v>
      </c>
      <c r="I45" s="17" t="n">
        <v>0</v>
      </c>
      <c r="J45" s="17" t="n">
        <v>8</v>
      </c>
      <c r="K45" s="17" t="n">
        <v>0</v>
      </c>
      <c r="L45" s="18">
        <f>H45*Paramètres!$B$2+I45*Paramètres!$B$3+J45*Paramètres!$B$4+K45*Paramètres!$B$5</f>
        <v/>
      </c>
      <c r="M45" s="18">
        <f>F45+G45+L45</f>
        <v/>
      </c>
      <c r="N45" s="22">
        <f>Paramètres!$B$7</f>
        <v/>
      </c>
      <c r="O45" s="18">
        <f>ROUND(M45*N45,2)</f>
        <v/>
      </c>
      <c r="P45" s="18">
        <f>O45*E45</f>
        <v/>
      </c>
      <c r="Q45" s="18">
        <f>M45*E45</f>
        <v/>
      </c>
      <c r="R45" s="17" t="inlineStr">
        <is>
          <t>CR1-C1 5G1,5 ≈2 000 m (ESTIMATIF)</t>
        </is>
      </c>
      <c r="S45" s="17" t="inlineStr">
        <is>
          <t>Tirage 3 h/100 m + 8 raccordements</t>
        </is>
      </c>
    </row>
    <row r="46">
      <c r="A46" s="17" t="n">
        <v>64</v>
      </c>
      <c r="B46" s="17" t="inlineStr">
        <is>
          <t>5</t>
        </is>
      </c>
      <c r="C46" s="17" t="inlineStr">
        <is>
          <t>Paramétrage et mise en service</t>
        </is>
      </c>
      <c r="D46" s="17" t="inlineStr">
        <is>
          <t>Ens</t>
        </is>
      </c>
      <c r="E46" s="17" t="n">
        <v>1</v>
      </c>
      <c r="F46" s="18" t="n">
        <v>0</v>
      </c>
      <c r="G46" s="18" t="n">
        <v>0</v>
      </c>
      <c r="H46" s="17" t="n">
        <v>0</v>
      </c>
      <c r="I46" s="17" t="n">
        <v>0</v>
      </c>
      <c r="J46" s="17" t="n">
        <v>6</v>
      </c>
      <c r="K46" s="17" t="n">
        <v>2</v>
      </c>
      <c r="L46" s="18">
        <f>H46*Paramètres!$B$2+I46*Paramètres!$B$3+J46*Paramètres!$B$4+K46*Paramètres!$B$5</f>
        <v/>
      </c>
      <c r="M46" s="18">
        <f>F46+G46+L46</f>
        <v/>
      </c>
      <c r="N46" s="22">
        <f>Paramètres!$B$7</f>
        <v/>
      </c>
      <c r="O46" s="18">
        <f>ROUND(M46*N46,2)</f>
        <v/>
      </c>
      <c r="P46" s="18">
        <f>O46*E46</f>
        <v/>
      </c>
      <c r="Q46" s="18">
        <f>M46*E46</f>
        <v/>
      </c>
      <c r="R46" s="17" t="inlineStr">
        <is>
          <t>MO PROSYB</t>
        </is>
      </c>
      <c r="S46" s="17" t="inlineStr">
        <is>
          <t>Essais reports îlots 3-10</t>
        </is>
      </c>
    </row>
    <row r="47">
      <c r="A47" s="17" t="n">
        <v>66</v>
      </c>
      <c r="B47" s="17" t="inlineStr">
        <is>
          <t>5</t>
        </is>
      </c>
      <c r="C47" s="17" t="inlineStr">
        <is>
          <t>Fourniture, pose et raccordement centrale type 3 SSI Poste Energie Hub 3, y compris déclencheurs manuels et sirenes</t>
        </is>
      </c>
      <c r="D47" s="17" t="inlineStr">
        <is>
          <t>Ens</t>
        </is>
      </c>
      <c r="E47" s="17" t="n">
        <v>1</v>
      </c>
      <c r="F47" s="18" t="n">
        <v>302.4</v>
      </c>
      <c r="G47" s="18" t="n">
        <v>0</v>
      </c>
      <c r="H47" s="17" t="n">
        <v>0</v>
      </c>
      <c r="I47" s="17" t="n">
        <v>0</v>
      </c>
      <c r="J47" s="17" t="n">
        <v>4</v>
      </c>
      <c r="K47" s="17" t="n">
        <v>0</v>
      </c>
      <c r="L47" s="18">
        <f>H47*Paramètres!$B$2+I47*Paramètres!$B$3+J47*Paramètres!$B$4+K47*Paramètres!$B$5</f>
        <v/>
      </c>
      <c r="M47" s="18">
        <f>F47+G47+L47</f>
        <v/>
      </c>
      <c r="N47" s="22">
        <f>Paramètres!$B$7</f>
        <v/>
      </c>
      <c r="O47" s="18">
        <f>ROUND(M47*N47,2)</f>
        <v/>
      </c>
      <c r="P47" s="18">
        <f>O47*E47</f>
        <v/>
      </c>
      <c r="Q47" s="18">
        <f>M47*E47</f>
        <v/>
      </c>
      <c r="R47" s="17" t="inlineStr">
        <is>
          <t>AVISS AE2610CO901 v2 du 13/10/2026 : CONCEPT 3 + DM + capot + TMS-300</t>
        </is>
      </c>
      <c r="S47" s="17" t="inlineStr">
        <is>
          <t>Pose Hub 3</t>
        </is>
      </c>
    </row>
    <row r="48">
      <c r="A48" s="17" t="n">
        <v>67</v>
      </c>
      <c r="B48" s="17" t="inlineStr">
        <is>
          <t>5</t>
        </is>
      </c>
      <c r="C48" s="17" t="inlineStr">
        <is>
          <t>Fourniture, pose et raccordement liaisons coffret report de contact SSI vers alarmes Type 3 SSI îlots 1 à 20, poste énergie Hub 3</t>
        </is>
      </c>
      <c r="D48" s="17" t="inlineStr">
        <is>
          <t>Ens</t>
        </is>
      </c>
      <c r="E48" s="17" t="n">
        <v>1</v>
      </c>
      <c r="F48" s="18" t="n">
        <v>0</v>
      </c>
      <c r="G48" s="23" t="n">
        <v>9050</v>
      </c>
      <c r="H48" s="17" t="n">
        <v>75</v>
      </c>
      <c r="I48" s="17" t="n">
        <v>0</v>
      </c>
      <c r="J48" s="17" t="n">
        <v>20</v>
      </c>
      <c r="K48" s="17" t="n">
        <v>0</v>
      </c>
      <c r="L48" s="18">
        <f>H48*Paramètres!$B$2+I48*Paramètres!$B$3+J48*Paramètres!$B$4+K48*Paramètres!$B$5</f>
        <v/>
      </c>
      <c r="M48" s="18">
        <f>F48+G48+L48</f>
        <v/>
      </c>
      <c r="N48" s="22">
        <f>Paramètres!$B$7</f>
        <v/>
      </c>
      <c r="O48" s="18">
        <f>ROUND(M48*N48,2)</f>
        <v/>
      </c>
      <c r="P48" s="18">
        <f>O48*E48</f>
        <v/>
      </c>
      <c r="Q48" s="18">
        <f>M48*E48</f>
        <v/>
      </c>
      <c r="R48" s="17" t="inlineStr">
        <is>
          <t>CR1-C1 7G1,5 / 5G1,5 ≈2 500 m (ESTIMATIF)</t>
        </is>
      </c>
      <c r="S48" s="17" t="inlineStr">
        <is>
          <t>Tirage + 20 raccordements</t>
        </is>
      </c>
    </row>
    <row r="49">
      <c r="A49" s="17" t="n">
        <v>69</v>
      </c>
      <c r="B49" s="17" t="inlineStr">
        <is>
          <t>5</t>
        </is>
      </c>
      <c r="C49" s="17" t="inlineStr">
        <is>
          <t>Paramétrage et mise en service</t>
        </is>
      </c>
      <c r="D49" s="17" t="inlineStr">
        <is>
          <t>Ens</t>
        </is>
      </c>
      <c r="E49" s="17" t="n">
        <v>1</v>
      </c>
      <c r="F49" s="18" t="n">
        <v>0</v>
      </c>
      <c r="G49" s="18" t="n">
        <v>0</v>
      </c>
      <c r="H49" s="17" t="n">
        <v>0</v>
      </c>
      <c r="I49" s="17" t="n">
        <v>0</v>
      </c>
      <c r="J49" s="17" t="n">
        <v>8</v>
      </c>
      <c r="K49" s="17" t="n">
        <v>4</v>
      </c>
      <c r="L49" s="18">
        <f>H49*Paramètres!$B$2+I49*Paramètres!$B$3+J49*Paramètres!$B$4+K49*Paramètres!$B$5</f>
        <v/>
      </c>
      <c r="M49" s="18">
        <f>F49+G49+L49</f>
        <v/>
      </c>
      <c r="N49" s="22">
        <f>Paramètres!$B$7</f>
        <v/>
      </c>
      <c r="O49" s="18">
        <f>ROUND(M49*N49,2)</f>
        <v/>
      </c>
      <c r="P49" s="18">
        <f>O49*E49</f>
        <v/>
      </c>
      <c r="Q49" s="18">
        <f>M49*E49</f>
        <v/>
      </c>
      <c r="R49" s="17" t="inlineStr">
        <is>
          <t>MO PROSYB</t>
        </is>
      </c>
      <c r="S49" s="17" t="inlineStr">
        <is>
          <t>Programmation P4, essais, PV</t>
        </is>
      </c>
    </row>
    <row r="50">
      <c r="A50" s="17" t="n">
        <v>75</v>
      </c>
      <c r="B50" s="17" t="inlineStr">
        <is>
          <t>6</t>
        </is>
      </c>
      <c r="C50" s="17" t="inlineStr">
        <is>
          <t>Fourniture, pose et raccordement caméra fixe + mât (28 Caméras), avec maillage zone chantier + périphérie y compris intrusion marque HIKVISION</t>
        </is>
      </c>
      <c r="D50" s="17" t="inlineStr">
        <is>
          <t>U</t>
        </is>
      </c>
      <c r="E50" s="17" t="n">
        <v>28</v>
      </c>
      <c r="F50" s="18" t="n">
        <v>142.14</v>
      </c>
      <c r="G50" s="23" t="n">
        <v>300</v>
      </c>
      <c r="H50" s="17" t="n">
        <v>4.5</v>
      </c>
      <c r="I50" s="17" t="n">
        <v>0.5</v>
      </c>
      <c r="J50" s="17" t="n">
        <v>0</v>
      </c>
      <c r="K50" s="17" t="n">
        <v>0</v>
      </c>
      <c r="L50" s="18">
        <f>H50*Paramètres!$B$2+I50*Paramètres!$B$3+J50*Paramètres!$B$4+K50*Paramètres!$B$5</f>
        <v/>
      </c>
      <c r="M50" s="18">
        <f>F50+G50+L50</f>
        <v/>
      </c>
      <c r="N50" s="22">
        <f>Paramètres!$B$6</f>
        <v/>
      </c>
      <c r="O50" s="18">
        <f>ROUND(M50*N50,2)</f>
        <v/>
      </c>
      <c r="P50" s="18">
        <f>O50*E50</f>
        <v/>
      </c>
      <c r="Q50" s="18">
        <f>M50*E50</f>
        <v/>
      </c>
      <c r="R50" s="17" t="inlineStr">
        <is>
          <t>CCF/Sonepar 313371 du 12/10/2026 : caméra Hikvision DS-2CD1643G2-LIZSU 142,14 ; mât galva 6 m 300 € ESTIMATIF (massif lot GC)</t>
        </is>
      </c>
      <c r="S50" s="17" t="inlineStr">
        <is>
          <t>Pose mât 1,5 h + caméra 2,5 h + racc. 1 h ; nacelle EXYTE supposée</t>
        </is>
      </c>
    </row>
    <row r="51">
      <c r="A51" s="17" t="n">
        <v>76</v>
      </c>
      <c r="B51" s="17" t="inlineStr">
        <is>
          <t>6</t>
        </is>
      </c>
      <c r="C51" s="17" t="inlineStr">
        <is>
          <t>Fourniture, pose et raccordement liaison RJ45 CAT6A F/STP POE pour alimentation caméras</t>
        </is>
      </c>
      <c r="D51" s="17" t="inlineStr">
        <is>
          <t>Ens</t>
        </is>
      </c>
      <c r="E51" s="17" t="n">
        <v>1</v>
      </c>
      <c r="F51" s="18" t="n">
        <v>6697.6</v>
      </c>
      <c r="G51" s="23" t="n">
        <v>2716</v>
      </c>
      <c r="H51" s="17" t="n">
        <v>56</v>
      </c>
      <c r="I51" s="17" t="n">
        <v>16</v>
      </c>
      <c r="J51" s="17" t="n">
        <v>0</v>
      </c>
      <c r="K51" s="17" t="n">
        <v>0</v>
      </c>
      <c r="L51" s="18">
        <f>H51*Paramètres!$B$2+I51*Paramètres!$B$3+J51*Paramètres!$B$4+K51*Paramètres!$B$5</f>
        <v/>
      </c>
      <c r="M51" s="18">
        <f>F51+G51+L51</f>
        <v/>
      </c>
      <c r="N51" s="22">
        <f>Paramètres!$B$6</f>
        <v/>
      </c>
      <c r="O51" s="18">
        <f>ROUND(M51*N51,2)</f>
        <v/>
      </c>
      <c r="P51" s="18">
        <f>O51*E51</f>
        <v/>
      </c>
      <c r="Q51" s="18">
        <f>M51*E51</f>
        <v/>
      </c>
      <c r="R51" s="17" t="inlineStr">
        <is>
          <t>CCF/Sonepar 313371 du 12/10/2026 : 8 switchs RG-NIS3100 3 644,56 + alims 48 V 1 874,88 + boîtiers optiques 307,68 + SFP 870,48 ; câble Cat6A ext. ESTIMATIF</t>
        </is>
      </c>
      <c r="S51" s="17" t="inlineStr">
        <is>
          <t>28 liaisons × 2 h + 8 coffrets × 2 h</t>
        </is>
      </c>
    </row>
    <row r="52">
      <c r="A52" s="17" t="n">
        <v>77</v>
      </c>
      <c r="B52" s="17" t="inlineStr">
        <is>
          <t>6</t>
        </is>
      </c>
      <c r="C52" s="17" t="inlineStr">
        <is>
          <t>Enregistreur NVR marque HIKVISION</t>
        </is>
      </c>
      <c r="D52" s="17" t="inlineStr">
        <is>
          <t>Ens</t>
        </is>
      </c>
      <c r="E52" s="17" t="n">
        <v>1</v>
      </c>
      <c r="F52" s="18" t="n">
        <v>2252.12</v>
      </c>
      <c r="G52" s="18" t="n">
        <v>0</v>
      </c>
      <c r="H52" s="17" t="n">
        <v>0</v>
      </c>
      <c r="I52" s="17" t="n">
        <v>3</v>
      </c>
      <c r="J52" s="17" t="n">
        <v>0</v>
      </c>
      <c r="K52" s="17" t="n">
        <v>0</v>
      </c>
      <c r="L52" s="18">
        <f>H52*Paramètres!$B$2+I52*Paramètres!$B$3+J52*Paramètres!$B$4+K52*Paramètres!$B$5</f>
        <v/>
      </c>
      <c r="M52" s="18">
        <f>F52+G52+L52</f>
        <v/>
      </c>
      <c r="N52" s="22">
        <f>Paramètres!$B$6</f>
        <v/>
      </c>
      <c r="O52" s="18">
        <f>ROUND(M52*N52,2)</f>
        <v/>
      </c>
      <c r="P52" s="18">
        <f>O52*E52</f>
        <v/>
      </c>
      <c r="Q52" s="18">
        <f>M52*E52</f>
        <v/>
      </c>
      <c r="R52" s="17" t="inlineStr">
        <is>
          <t>CCF/Sonepar 313371 du 12/10/2026 : NVR DS-7732NXI-K4/16P 706,67 + HDD 20 To 1 545,45</t>
        </is>
      </c>
      <c r="S52" s="17" t="inlineStr">
        <is>
          <t>Pose en baie Hub 1</t>
        </is>
      </c>
    </row>
    <row r="53">
      <c r="A53" s="17" t="n">
        <v>78</v>
      </c>
      <c r="B53" s="17" t="inlineStr">
        <is>
          <t>6</t>
        </is>
      </c>
      <c r="C53" s="17" t="inlineStr">
        <is>
          <t>Paramétrage / Logiciel (analyse comportementale et port des EPI, intrusion périphérique)</t>
        </is>
      </c>
      <c r="D53" s="17" t="inlineStr">
        <is>
          <t>Ens</t>
        </is>
      </c>
      <c r="E53" s="17" t="n">
        <v>1</v>
      </c>
      <c r="F53" s="18" t="n">
        <v>933.77</v>
      </c>
      <c r="G53" s="18" t="n">
        <v>0</v>
      </c>
      <c r="H53" s="17" t="n">
        <v>0</v>
      </c>
      <c r="I53" s="17" t="n">
        <v>36</v>
      </c>
      <c r="J53" s="17" t="n">
        <v>0</v>
      </c>
      <c r="K53" s="17" t="n">
        <v>20</v>
      </c>
      <c r="L53" s="18">
        <f>H53*Paramètres!$B$2+I53*Paramètres!$B$3+J53*Paramètres!$B$4+K53*Paramètres!$B$5</f>
        <v/>
      </c>
      <c r="M53" s="18">
        <f>F53+G53+L53</f>
        <v/>
      </c>
      <c r="N53" s="22">
        <f>Paramètres!$B$6</f>
        <v/>
      </c>
      <c r="O53" s="18">
        <f>ROUND(M53*N53,2)</f>
        <v/>
      </c>
      <c r="P53" s="18">
        <f>O53*E53</f>
        <v/>
      </c>
      <c r="Q53" s="18">
        <f>M53*E53</f>
        <v/>
      </c>
      <c r="R53" s="17" t="inlineStr">
        <is>
          <t>CCF/Sonepar 313371 du 12/10/2026 : poste supervision Inspiron 933,77</t>
        </is>
      </c>
      <c r="S53" s="17" t="inlineStr">
        <is>
          <t>Paramétrage NVR/iVMS + 28 cam × 1 h ; BE couverture, RGPD, DOE</t>
        </is>
      </c>
    </row>
    <row r="54">
      <c r="A54" s="17" t="n">
        <v>79</v>
      </c>
      <c r="B54" s="17" t="inlineStr">
        <is>
          <t>6</t>
        </is>
      </c>
      <c r="C54" s="17" t="inlineStr">
        <is>
          <t>Recettage cuivre</t>
        </is>
      </c>
      <c r="D54" s="17" t="inlineStr">
        <is>
          <t>Ens</t>
        </is>
      </c>
      <c r="E54" s="17" t="n">
        <v>1</v>
      </c>
      <c r="F54" s="18" t="n">
        <v>0</v>
      </c>
      <c r="G54" s="18" t="n">
        <v>0</v>
      </c>
      <c r="H54" s="17" t="n">
        <v>0</v>
      </c>
      <c r="I54" s="17" t="n">
        <v>5</v>
      </c>
      <c r="J54" s="17" t="n">
        <v>0</v>
      </c>
      <c r="K54" s="17" t="n">
        <v>0</v>
      </c>
      <c r="L54" s="18">
        <f>H54*Paramètres!$B$2+I54*Paramètres!$B$3+J54*Paramètres!$B$4+K54*Paramètres!$B$5</f>
        <v/>
      </c>
      <c r="M54" s="18">
        <f>F54+G54+L54</f>
        <v/>
      </c>
      <c r="N54" s="22">
        <f>Paramètres!$B$6</f>
        <v/>
      </c>
      <c r="O54" s="18">
        <f>ROUND(M54*N54,2)</f>
        <v/>
      </c>
      <c r="P54" s="18">
        <f>O54*E54</f>
        <v/>
      </c>
      <c r="Q54" s="18">
        <f>M54*E54</f>
        <v/>
      </c>
      <c r="R54" s="17" t="inlineStr">
        <is>
          <t>MO PROSYB</t>
        </is>
      </c>
      <c r="S54" s="17" t="inlineStr">
        <is>
          <t>Recette 28 liaisons + PV</t>
        </is>
      </c>
    </row>
    <row r="55">
      <c r="A55" s="17" t="n">
        <v>83</v>
      </c>
      <c r="B55" s="17" t="inlineStr">
        <is>
          <t>7</t>
        </is>
      </c>
      <c r="C55" s="17" t="inlineStr">
        <is>
          <t>Fourniture, pose et raccordement automate WAGO avec interface Ethernet modbus TCP/IP TGBT Hub 1, Hub 2 et Hub 3</t>
        </is>
      </c>
      <c r="D55" s="17" t="inlineStr">
        <is>
          <t>U</t>
        </is>
      </c>
      <c r="E55" s="17" t="n">
        <v>3</v>
      </c>
      <c r="F55" s="18" t="n">
        <v>1248</v>
      </c>
      <c r="G55" s="18" t="n">
        <v>0</v>
      </c>
      <c r="H55" s="17" t="n">
        <v>0</v>
      </c>
      <c r="I55" s="17" t="n">
        <v>3</v>
      </c>
      <c r="J55" s="17" t="n">
        <v>0</v>
      </c>
      <c r="K55" s="17" t="n">
        <v>0</v>
      </c>
      <c r="L55" s="18">
        <f>H55*Paramètres!$B$2+I55*Paramètres!$B$3+J55*Paramètres!$B$4+K55*Paramètres!$B$5</f>
        <v/>
      </c>
      <c r="M55" s="18">
        <f>F55+G55+L55</f>
        <v/>
      </c>
      <c r="N55" s="22">
        <f>Paramètres!$B$6</f>
        <v/>
      </c>
      <c r="O55" s="18">
        <f>ROUND(M55*N55,2)</f>
        <v/>
      </c>
      <c r="P55" s="18">
        <f>O55*E55</f>
        <v/>
      </c>
      <c r="Q55" s="18">
        <f>M55*E55</f>
        <v/>
      </c>
      <c r="R55" s="17" t="inlineStr">
        <is>
          <t>AETHERYS DPGF GTB du 16/10/2026 : contrôleur WAGO PFC100 750-8112 949 + 2 × DI16 750-1405 273 + borne finale 750-600 26 (par TGBT)</t>
        </is>
      </c>
      <c r="S55" s="17" t="inlineStr">
        <is>
          <t>Pose/raccordement automate en TGBT par PROSYB 3 h ; configuration Aetherys</t>
        </is>
      </c>
    </row>
    <row r="56">
      <c r="A56" s="17" t="n">
        <v>84</v>
      </c>
      <c r="B56" s="17" t="inlineStr">
        <is>
          <t>7</t>
        </is>
      </c>
      <c r="C56" s="17" t="inlineStr">
        <is>
          <t>Fourniture, pose et raccordement alimentation automate WAGO</t>
        </is>
      </c>
      <c r="D56" s="17" t="inlineStr">
        <is>
          <t>U</t>
        </is>
      </c>
      <c r="E56" s="17" t="n">
        <v>3</v>
      </c>
      <c r="F56" s="18" t="n">
        <v>78</v>
      </c>
      <c r="G56" s="18" t="n">
        <v>0</v>
      </c>
      <c r="H56" s="17" t="n">
        <v>0</v>
      </c>
      <c r="I56" s="17" t="n">
        <v>0.5</v>
      </c>
      <c r="J56" s="17" t="n">
        <v>0</v>
      </c>
      <c r="K56" s="17" t="n">
        <v>0</v>
      </c>
      <c r="L56" s="18">
        <f>H56*Paramètres!$B$2+I56*Paramètres!$B$3+J56*Paramètres!$B$4+K56*Paramètres!$B$5</f>
        <v/>
      </c>
      <c r="M56" s="18">
        <f>F56+G56+L56</f>
        <v/>
      </c>
      <c r="N56" s="22">
        <f>Paramètres!$B$6</f>
        <v/>
      </c>
      <c r="O56" s="18">
        <f>ROUND(M56*N56,2)</f>
        <v/>
      </c>
      <c r="P56" s="18">
        <f>O56*E56</f>
        <v/>
      </c>
      <c r="Q56" s="18">
        <f>M56*E56</f>
        <v/>
      </c>
      <c r="R56" s="17" t="inlineStr">
        <is>
          <t>AETHERYS DPGF GTB du 16/10/2026 : alimentation 787-1212 24 V 2,5 A</t>
        </is>
      </c>
      <c r="S56" s="17" t="inlineStr">
        <is>
          <t>Pose 0,5 h</t>
        </is>
      </c>
    </row>
    <row r="57">
      <c r="A57" s="17" t="n">
        <v>85</v>
      </c>
      <c r="B57" s="17" t="inlineStr">
        <is>
          <t>7</t>
        </is>
      </c>
      <c r="C57" s="17" t="inlineStr">
        <is>
          <t>Fourniture, pose et raccordement liaison WAGO vers switch GTB</t>
        </is>
      </c>
      <c r="D57" s="17" t="inlineStr">
        <is>
          <t>U</t>
        </is>
      </c>
      <c r="E57" s="17" t="n">
        <v>3</v>
      </c>
      <c r="F57" s="18" t="n">
        <v>0</v>
      </c>
      <c r="G57" s="23" t="n">
        <v>30</v>
      </c>
      <c r="H57" s="17" t="n">
        <v>1</v>
      </c>
      <c r="I57" s="17" t="n">
        <v>0</v>
      </c>
      <c r="J57" s="17" t="n">
        <v>0</v>
      </c>
      <c r="K57" s="17" t="n">
        <v>0</v>
      </c>
      <c r="L57" s="18">
        <f>H57*Paramètres!$B$2+I57*Paramètres!$B$3+J57*Paramètres!$B$4+K57*Paramètres!$B$5</f>
        <v/>
      </c>
      <c r="M57" s="18">
        <f>F57+G57+L57</f>
        <v/>
      </c>
      <c r="N57" s="22">
        <f>Paramètres!$B$6</f>
        <v/>
      </c>
      <c r="O57" s="18">
        <f>ROUND(M57*N57,2)</f>
        <v/>
      </c>
      <c r="P57" s="18">
        <f>O57*E57</f>
        <v/>
      </c>
      <c r="Q57" s="18">
        <f>M57*E57</f>
        <v/>
      </c>
      <c r="R57" s="17" t="inlineStr">
        <is>
          <t>Cordon/liaison Cat6A vers switch terrain (PROSYB)</t>
        </is>
      </c>
      <c r="S57" s="17" t="inlineStr">
        <is>
          <t>1 h</t>
        </is>
      </c>
    </row>
    <row r="58">
      <c r="A58" s="17" t="n">
        <v>86</v>
      </c>
      <c r="B58" s="17" t="inlineStr">
        <is>
          <t>7</t>
        </is>
      </c>
      <c r="C58" s="17" t="inlineStr">
        <is>
          <t>Fourniture, pose et raccordement liaison interne contacts SD vers automate WAGO dans les TGBT Hub 1, Hub 2 et Hub 3</t>
        </is>
      </c>
      <c r="D58" s="17" t="inlineStr">
        <is>
          <t>U</t>
        </is>
      </c>
      <c r="E58" s="17" t="n">
        <v>3</v>
      </c>
      <c r="F58" s="18" t="n">
        <v>0</v>
      </c>
      <c r="G58" s="23" t="n">
        <v>80</v>
      </c>
      <c r="H58" s="17" t="n">
        <v>5</v>
      </c>
      <c r="I58" s="17" t="n">
        <v>1</v>
      </c>
      <c r="J58" s="17" t="n">
        <v>0</v>
      </c>
      <c r="K58" s="17" t="n">
        <v>0</v>
      </c>
      <c r="L58" s="18">
        <f>H58*Paramètres!$B$2+I58*Paramètres!$B$3+J58*Paramètres!$B$4+K58*Paramètres!$B$5</f>
        <v/>
      </c>
      <c r="M58" s="18">
        <f>F58+G58+L58</f>
        <v/>
      </c>
      <c r="N58" s="22">
        <f>Paramètres!$B$6</f>
        <v/>
      </c>
      <c r="O58" s="18">
        <f>ROUND(M58*N58,2)</f>
        <v/>
      </c>
      <c r="P58" s="18">
        <f>O58*E58</f>
        <v/>
      </c>
      <c r="Q58" s="18">
        <f>M58*E58</f>
        <v/>
      </c>
      <c r="R58" s="17" t="inlineStr">
        <is>
          <t>Fils et borniers PROSYB ; ≈20 contacts SD/TOR par TGBT (liste de points Aetherys : 19-20 TOR Hub 1-2, 13 Hub 3)</t>
        </is>
      </c>
      <c r="S58" s="17" t="inlineStr">
        <is>
          <t>0,25 h/contact + contrôle</t>
        </is>
      </c>
    </row>
    <row r="59">
      <c r="A59" s="17" t="n">
        <v>87</v>
      </c>
      <c r="B59" s="17" t="inlineStr">
        <is>
          <t>7</t>
        </is>
      </c>
      <c r="C59" s="17" t="inlineStr">
        <is>
          <t>Fourniture, pose et raccordement liaison interne compteur d'énergie TGBT Hub 1, 2 et 3 vers automate WAGO</t>
        </is>
      </c>
      <c r="D59" s="17" t="inlineStr">
        <is>
          <t>U</t>
        </is>
      </c>
      <c r="E59" s="17" t="n">
        <v>3</v>
      </c>
      <c r="F59" s="18" t="n">
        <v>0</v>
      </c>
      <c r="G59" s="23" t="n">
        <v>40</v>
      </c>
      <c r="H59" s="17" t="n">
        <v>2</v>
      </c>
      <c r="I59" s="17" t="n">
        <v>1</v>
      </c>
      <c r="J59" s="17" t="n">
        <v>0</v>
      </c>
      <c r="K59" s="17" t="n">
        <v>0</v>
      </c>
      <c r="L59" s="18">
        <f>H59*Paramètres!$B$2+I59*Paramètres!$B$3+J59*Paramètres!$B$4+K59*Paramètres!$B$5</f>
        <v/>
      </c>
      <c r="M59" s="18">
        <f>F59+G59+L59</f>
        <v/>
      </c>
      <c r="N59" s="22">
        <f>Paramètres!$B$6</f>
        <v/>
      </c>
      <c r="O59" s="18">
        <f>ROUND(M59*N59,2)</f>
        <v/>
      </c>
      <c r="P59" s="18">
        <f>O59*E59</f>
        <v/>
      </c>
      <c r="Q59" s="18">
        <f>M59*E59</f>
        <v/>
      </c>
      <c r="R59" s="17" t="inlineStr">
        <is>
          <t>Bus RS485 PROSYB (connecteur 750-960 cité au mémoire Aetherys, non chiffré : à confirmer)</t>
        </is>
      </c>
      <c r="S59" s="17" t="inlineStr">
        <is>
          <t>≈30 m + raccordement</t>
        </is>
      </c>
    </row>
    <row r="60">
      <c r="A60" s="17" t="n">
        <v>88</v>
      </c>
      <c r="B60" s="17" t="inlineStr">
        <is>
          <t>7</t>
        </is>
      </c>
      <c r="C60" s="17" t="inlineStr">
        <is>
          <t>Fourniture, pose et raccordement ordinateur fixe avec 2 écrans au niveau du poste de garde</t>
        </is>
      </c>
      <c r="D60" s="17" t="inlineStr">
        <is>
          <t>U</t>
        </is>
      </c>
      <c r="E60" s="17" t="n">
        <v>1</v>
      </c>
      <c r="F60" s="18" t="n">
        <v>1664</v>
      </c>
      <c r="G60" s="18" t="n">
        <v>0</v>
      </c>
      <c r="H60" s="17" t="n">
        <v>0</v>
      </c>
      <c r="I60" s="17" t="n">
        <v>0.5</v>
      </c>
      <c r="J60" s="17" t="n">
        <v>0</v>
      </c>
      <c r="K60" s="17" t="n">
        <v>0</v>
      </c>
      <c r="L60" s="18">
        <f>H60*Paramètres!$B$2+I60*Paramètres!$B$3+J60*Paramètres!$B$4+K60*Paramètres!$B$5</f>
        <v/>
      </c>
      <c r="M60" s="18">
        <f>F60+G60+L60</f>
        <v/>
      </c>
      <c r="N60" s="22">
        <f>Paramètres!$B$6</f>
        <v/>
      </c>
      <c r="O60" s="18">
        <f>ROUND(M60*N60,2)</f>
        <v/>
      </c>
      <c r="P60" s="18">
        <f>O60*E60</f>
        <v/>
      </c>
      <c r="Q60" s="18">
        <f>M60*E60</f>
        <v/>
      </c>
      <c r="R60" s="17" t="inlineStr">
        <is>
          <t>AETHERYS DPGF GTB du 16/10/2026 : HP ProDesk 4 SFF G1i 1 430 + 2 écrans iiyama 23,8" G2441HSU 234 (fourniture et installation Aetherys)</t>
        </is>
      </c>
      <c r="S60" s="17" t="inlineStr">
        <is>
          <t>Assistance 0,5 h</t>
        </is>
      </c>
    </row>
    <row r="61">
      <c r="A61" s="17" t="n">
        <v>89</v>
      </c>
      <c r="B61" s="17" t="inlineStr">
        <is>
          <t>7</t>
        </is>
      </c>
      <c r="C61" s="17" t="inlineStr">
        <is>
          <t>Paramétrage / Logiciel avec historisation (Licence, dashboards consos, alertes SMS/Mail)</t>
        </is>
      </c>
      <c r="D61" s="17" t="inlineStr">
        <is>
          <t>Ens</t>
        </is>
      </c>
      <c r="E61" s="17" t="n">
        <v>1</v>
      </c>
      <c r="F61" s="18" t="n">
        <v>23072</v>
      </c>
      <c r="G61" s="23" t="n">
        <v>870</v>
      </c>
      <c r="H61" s="17" t="n">
        <v>0</v>
      </c>
      <c r="I61" s="17" t="n">
        <v>8</v>
      </c>
      <c r="J61" s="17" t="n">
        <v>0</v>
      </c>
      <c r="K61" s="17" t="n">
        <v>4</v>
      </c>
      <c r="L61" s="18">
        <f>H61*Paramètres!$B$2+I61*Paramètres!$B$3+J61*Paramètres!$B$4+K61*Paramètres!$B$5</f>
        <v/>
      </c>
      <c r="M61" s="18">
        <f>F61+G61+L61</f>
        <v/>
      </c>
      <c r="N61" s="22">
        <f>Paramètres!$B$6</f>
        <v/>
      </c>
      <c r="O61" s="18">
        <f>ROUND(M61*N61,2)</f>
        <v/>
      </c>
      <c r="P61" s="18">
        <f>O61*E61</f>
        <v/>
      </c>
      <c r="Q61" s="18">
        <f>M61*E61</f>
        <v/>
      </c>
      <c r="R61" s="17" t="inlineStr">
        <is>
          <t>AETHERYS DPGF GTB du 16/10/2026 : études/dossier exé 3 240 + paramétrage 810 + développement GTB 6 480 + MES/essais 4 j 3 240 + DOE 405 + formation 405 + licence Ignition Edge IGN-EDGE-PANEL-83 (CARE 24 mois) 3 413,80 + routeur IXON 5G + antenne 902,20 + abonnement 5G 24 mois 936 + TMA à distance 24 mois 3 240</t>
        </is>
      </c>
      <c r="S61" s="17" t="inlineStr">
        <is>
          <t>Provision ESTIMATIVE +5 mois (chantier 29 mois vs 24 mois Aetherys) : 5G 5 × 39 + TMA 5 × 135 = 870 € ; MO PROSYB coordination/essais 8 h tech + 4 h BE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90" customWidth="1" min="3" max="3"/>
    <col width="55" customWidth="1" min="4" max="4"/>
    <col width="18" customWidth="1" min="5" max="5"/>
  </cols>
  <sheetData>
    <row r="1">
      <c r="A1" s="2" t="inlineStr">
        <is>
          <t>#</t>
        </is>
      </c>
      <c r="B1" s="2" t="inlineStr">
        <is>
          <t>Sujet</t>
        </is>
      </c>
      <c r="C1" s="2" t="inlineStr">
        <is>
          <t>Action</t>
        </is>
      </c>
      <c r="D1" s="2" t="inlineStr">
        <is>
          <t>Impact prix</t>
        </is>
      </c>
    </row>
    <row r="2">
      <c r="A2" s="17" t="n">
        <v>1</v>
      </c>
      <c r="B2" s="17" t="inlineStr">
        <is>
          <t>GTB</t>
        </is>
      </c>
      <c r="C2" s="17" t="inlineStr">
        <is>
          <t>TMA, licence CARE et abonnement 5G AETHERYS sur 24 mois alors que chantier 29 mois (maintenance DPGF 28 mois)</t>
        </is>
      </c>
      <c r="D2" s="17" t="inlineStr">
        <is>
          <t>Demander à AETHERYS +5 mois ; provision 870 € PR intégrée</t>
        </is>
      </c>
      <c r="E2" s="17" t="inlineStr">
        <is>
          <t>+</t>
        </is>
      </c>
    </row>
    <row r="3">
      <c r="A3" s="17" t="n">
        <v>2</v>
      </c>
      <c r="B3" s="17" t="inlineStr">
        <is>
          <t>GTB</t>
        </is>
      </c>
      <c r="C3" s="17" t="inlineStr">
        <is>
          <t>Connecteur RS485 750-960 cité dans le mémoire AETHERYS mais absent de son DPGF ; 3e bloc libellé « TGBT HUB 2 » au lieu de HUB 3 et « coupleur de bus » au lieu de PFC100</t>
        </is>
      </c>
      <c r="D3" s="17" t="inlineStr">
        <is>
          <t>Faire corriger l'offre AETHERYS</t>
        </is>
      </c>
      <c r="E3" s="17" t="inlineStr">
        <is>
          <t>faible</t>
        </is>
      </c>
    </row>
    <row r="4">
      <c r="A4" s="17" t="n">
        <v>3</v>
      </c>
      <c r="B4" s="17" t="inlineStr">
        <is>
          <t>GTB</t>
        </is>
      </c>
      <c r="C4" s="17" t="inlineStr">
        <is>
          <t>Alertes SMS : non décrites par AETHERYS (Ignition Edge = e-mail natif) alors que DPGF demande SMS/mail</t>
        </is>
      </c>
      <c r="D4" s="17" t="inlineStr">
        <is>
          <t>Confirmer passerelle SMS (IXON ou module Ignition) ou retirer SMS</t>
        </is>
      </c>
      <c r="E4" s="17" t="inlineStr">
        <is>
          <t>+250 € si passerelle</t>
        </is>
      </c>
    </row>
    <row r="5">
      <c r="A5" s="17" t="n">
        <v>4</v>
      </c>
      <c r="B5" s="17" t="inlineStr">
        <is>
          <t>GTB</t>
        </is>
      </c>
      <c r="C5" s="17" t="inlineStr">
        <is>
          <t>Routeur IXON 5G = sortie internet du réseau terrain : contradiction avec « aucun accès internet direct » du mémoire</t>
        </is>
      </c>
      <c r="D5" s="17" t="inlineStr">
        <is>
          <t>Placer en VLAN 910 VPN de maintenance, activation sur validation EXYTE</t>
        </is>
      </c>
      <c r="E5" s="17" t="inlineStr">
        <is>
          <t>0</t>
        </is>
      </c>
    </row>
    <row r="6">
      <c r="A6" s="17" t="n">
        <v>5</v>
      </c>
      <c r="B6" s="17" t="inlineStr">
        <is>
          <t>Vidéo</t>
        </is>
      </c>
      <c r="C6" s="17" t="inlineStr">
        <is>
          <t>Caméras DS-2CD1643G2-LIZSU : fiche = détection de mouvement humain/véhicule seulement (pas de franchissement de ligne/intrusion de zone listés) ; NVR : protection périmétrique limitée à 2 voies 4 MP ; port des EPI non supporté</t>
        </is>
      </c>
      <c r="D6" s="17" t="inlineStr">
        <is>
          <t>Demander à CCF variante AcuSense (ex. gamme 2xx6G2-I…SU/SL) ou reformuler l'offre</t>
        </is>
      </c>
      <c r="E6" s="17" t="inlineStr">
        <is>
          <t>+ à chiffrer</t>
        </is>
      </c>
    </row>
    <row r="7">
      <c r="A7" s="17" t="n">
        <v>6</v>
      </c>
      <c r="B7" s="17" t="inlineStr">
        <is>
          <t>Vidéo</t>
        </is>
      </c>
      <c r="C7" s="17" t="inlineStr">
        <is>
          <t>NVR DS-7732NXI-K4 : 16 To max par disque selon fiche ; disque 20 To proposé + disque unique = point unique de panne</t>
        </is>
      </c>
      <c r="D7" s="17" t="inlineStr">
        <is>
          <t>Remplacer par 2 × 10 To (ou 4 × 8 To) compatibles</t>
        </is>
      </c>
      <c r="E7" s="17" t="inlineStr">
        <is>
          <t>≈ neutre</t>
        </is>
      </c>
    </row>
    <row r="8">
      <c r="A8" s="17" t="n">
        <v>7</v>
      </c>
      <c r="B8" s="17" t="inlineStr">
        <is>
          <t>AV</t>
        </is>
      </c>
      <c r="C8" s="17" t="inlineStr">
        <is>
          <t>Micro LOG025 MeetUp incompatible Rally Bar → 4 Rally Mic Pod 989-000430 ; chariot Chief 50-85" vs écran 86" ; totems ERARD prévus OH55F (portrait) vs OHDX</t>
        </is>
      </c>
      <c r="D8" s="17" t="inlineStr">
        <is>
          <t>Recotation Sonepar attendue</t>
        </is>
      </c>
      <c r="E8" s="17" t="inlineStr">
        <is>
          <t>±</t>
        </is>
      </c>
    </row>
    <row r="9">
      <c r="A9" s="17" t="n">
        <v>8</v>
      </c>
      <c r="B9" s="17" t="inlineStr">
        <is>
          <t>AV</t>
        </is>
      </c>
      <c r="C9" s="17" t="inlineStr">
        <is>
          <t>Serveur Navori QL et durée licence Navori non chiffrés</t>
        </is>
      </c>
      <c r="D9" s="17" t="inlineStr">
        <is>
          <t>Prix Sonepar</t>
        </is>
      </c>
      <c r="E9" s="17" t="inlineStr">
        <is>
          <t>1 100 € estimatif</t>
        </is>
      </c>
    </row>
    <row r="10">
      <c r="A10" s="17" t="n">
        <v>9</v>
      </c>
      <c r="B10" s="17" t="inlineStr">
        <is>
          <t>VDI</t>
        </is>
      </c>
      <c r="C10" s="17" t="inlineStr">
        <is>
          <t>Pose cuivre et certification classe EA non incluses Octet Plus ; coffrets IP55 retirés (SPIE) → devis révisé à demander</t>
        </is>
      </c>
      <c r="D10" s="17" t="inlineStr">
        <is>
          <t>Devis révisé Octet Plus</t>
        </is>
      </c>
      <c r="E10" s="17" t="inlineStr">
        <is>
          <t>0</t>
        </is>
      </c>
    </row>
    <row r="11">
      <c r="A11" s="17" t="n">
        <v>10</v>
      </c>
      <c r="B11" s="17" t="inlineStr">
        <is>
          <t>SSI</t>
        </is>
      </c>
      <c r="C11" s="17" t="inlineStr">
        <is>
          <t>Câbles CR1-C1, coffret de reports : prix de repli estimatifs</t>
        </is>
      </c>
      <c r="D11" s="17" t="inlineStr">
        <is>
          <t>Consultation L19 Sonepar en cours</t>
        </is>
      </c>
      <c r="E11" s="17" t="inlineStr">
        <is>
          <t>±</t>
        </is>
      </c>
    </row>
    <row r="12">
      <c r="A12" s="17" t="n">
        <v>11</v>
      </c>
      <c r="B12" s="17" t="inlineStr">
        <is>
          <t>Validité</t>
        </is>
      </c>
      <c r="C12" s="17" t="inlineStr">
        <is>
          <t>Devis fournisseurs valables 27-31/10/2026 alors que Haskoning exige ≥ 90 jours de validité</t>
        </is>
      </c>
      <c r="D12" s="17" t="inlineStr">
        <is>
          <t>Demander prolongation ou clause de révision</t>
        </is>
      </c>
      <c r="E12" s="17" t="inlineStr">
        <is>
          <t>risque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2026-10-16T18:44:31Z</dcterms:created>
  <dcterms:modified xmlns:dcterms="http://purl.org/dc/terms/" xmlns:xsi="http://www.w3.org/2001/XMLSchema-instance" xsi:type="dcterms:W3CDTF">2026-10-16T18:44:31Z</dcterms:modified>
</cp:coreProperties>
</file>