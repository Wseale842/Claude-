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u val="single"/>
    </font>
  </fonts>
  <fills count="6">
    <fill>
      <patternFill/>
    </fill>
    <fill>
      <patternFill patternType="gray125"/>
    </fill>
    <fill>
      <patternFill patternType="solid">
        <fgColor rgb="002B2640"/>
      </patternFill>
    </fill>
    <fill>
      <patternFill patternType="solid">
        <fgColor rgb="00D9D2F5"/>
      </patternFill>
    </fill>
    <fill>
      <patternFill patternType="solid">
        <fgColor rgb="00EDEA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6" customWidth="1" min="3" max="3"/>
    <col width="6" customWidth="1" min="4" max="4"/>
    <col width="12" customWidth="1" min="5" max="5"/>
    <col width="13" customWidth="1" min="6" max="6"/>
    <col width="90" customWidth="1" min="7" max="7"/>
  </cols>
  <sheetData>
    <row r="1">
      <c r="A1" s="1" t="inlineStr">
        <is>
          <t>N°/Lot</t>
        </is>
      </c>
      <c r="B1" s="1" t="inlineStr">
        <is>
          <t>DESIGNATION</t>
        </is>
      </c>
      <c r="C1" s="1" t="inlineStr">
        <is>
          <t>U</t>
        </is>
      </c>
      <c r="D1" s="1" t="inlineStr">
        <is>
          <t>Qt.</t>
        </is>
      </c>
      <c r="E1" s="1" t="inlineStr">
        <is>
          <t>P.U. (€)</t>
        </is>
      </c>
      <c r="F1" s="1" t="n"/>
      <c r="G1" s="1" t="inlineStr">
        <is>
          <t>COMMENTAIRES</t>
        </is>
      </c>
    </row>
    <row r="2">
      <c r="A2" s="2" t="inlineStr">
        <is>
          <t>4</t>
        </is>
      </c>
      <c r="B2" s="2" t="inlineStr">
        <is>
          <t>INFORMATIQUE &amp; AUDIOVISUEL &amp; AFFICHAGES LED</t>
        </is>
      </c>
      <c r="C2" s="2" t="n"/>
      <c r="D2" s="2" t="n"/>
      <c r="E2" s="3" t="n"/>
      <c r="F2" s="3" t="n"/>
      <c r="G2" s="2" t="n"/>
    </row>
    <row r="3">
      <c r="A3" s="4" t="inlineStr">
        <is>
          <t>4.1</t>
        </is>
      </c>
      <c r="B3" s="4" t="inlineStr">
        <is>
          <t>Phase 2 (2 mois)</t>
        </is>
      </c>
      <c r="C3" s="4" t="n"/>
      <c r="D3" s="4" t="n"/>
      <c r="E3" s="5" t="n"/>
      <c r="F3" s="5" t="n"/>
      <c r="G3" s="4" t="n"/>
    </row>
    <row r="4">
      <c r="A4" s="6" t="n"/>
      <c r="B4" s="7" t="inlineStr">
        <is>
          <t>Informatique cœur de réseau</t>
        </is>
      </c>
      <c r="C4" s="6" t="n"/>
      <c r="D4" s="6" t="n"/>
      <c r="E4" s="8" t="n"/>
      <c r="F4" s="8" t="n"/>
      <c r="G4" s="6" t="n"/>
    </row>
    <row r="5">
      <c r="A5" s="6" t="n"/>
      <c r="B5" s="6" t="inlineStr">
        <is>
          <t>Fourniture, pose et raccordement répartiteur informatique principal dans poste énergie Hub 1, incluant switch PoE (switch d'agrégation vidéoprotection fourni par PROSYB)</t>
        </is>
      </c>
      <c r="C5" s="6" t="inlineStr">
        <is>
          <t>Ens</t>
        </is>
      </c>
      <c r="D5" s="6" t="n">
        <v>1</v>
      </c>
      <c r="E5" s="8" t="n">
        <v>786.03</v>
      </c>
      <c r="F5" s="8">
        <f>D5*E5</f>
        <v/>
      </c>
      <c r="G5" s="6" t="inlineStr">
        <is>
          <t>Switch L3 S57244-B0 CCF devis 313371 (786,03 €) conservé : agrège l'anneau fibre des 8 switchs de vidéoprotection (seuls switchs fournis par PROSYB, cf. Ahmed SPIE 16/10/2026). Switchs bureautiques = fourniture EXYTE. Baie/pose/MO à ajouter.</t>
        </is>
      </c>
    </row>
    <row r="6">
      <c r="A6" s="6" t="n"/>
      <c r="B6" s="6" t="inlineStr">
        <is>
          <t>Fourniture, pose et raccordement répartiteur informatique principal dans poste énergie Hub 2 — switch fourni par EXYTE, pose et paramétrage PROSYB</t>
        </is>
      </c>
      <c r="C6" s="6" t="inlineStr">
        <is>
          <t>Ens</t>
        </is>
      </c>
      <c r="D6" s="6" t="n">
        <v>1</v>
      </c>
      <c r="E6" s="8" t="n">
        <v>0</v>
      </c>
      <c r="F6" s="8">
        <f>D6*E6</f>
        <v/>
      </c>
      <c r="G6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7">
      <c r="A7" s="6" t="n"/>
      <c r="B7" s="6" t="inlineStr">
        <is>
          <t>Fourniture, pose et raccordement répartiteur informatique secondaire Est 1 — switch fourni par EXYTE, pose et paramétrage PROSYB</t>
        </is>
      </c>
      <c r="C7" s="6" t="inlineStr">
        <is>
          <t>Ens</t>
        </is>
      </c>
      <c r="D7" s="6" t="n">
        <v>1</v>
      </c>
      <c r="E7" s="8" t="n">
        <v>0</v>
      </c>
      <c r="F7" s="8">
        <f>D7*E7</f>
        <v/>
      </c>
      <c r="G7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8">
      <c r="A8" s="6" t="n"/>
      <c r="B8" s="6" t="inlineStr">
        <is>
          <t>Fourniture, pose et raccordement répartiteur informatique secondaire Est 2 — switch fourni par EXYTE, pose et paramétrage PROSYB</t>
        </is>
      </c>
      <c r="C8" s="6" t="inlineStr">
        <is>
          <t>Ens</t>
        </is>
      </c>
      <c r="D8" s="6" t="n">
        <v>1</v>
      </c>
      <c r="E8" s="8" t="n">
        <v>0</v>
      </c>
      <c r="F8" s="8">
        <f>D8*E8</f>
        <v/>
      </c>
      <c r="G8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9">
      <c r="A9" s="6" t="n"/>
      <c r="B9" s="6" t="inlineStr">
        <is>
          <t>Fourniture, pose et raccordement répartiteur informatique secondaire Est 3 — switch fourni par EXYTE, pose et paramétrage PROSYB</t>
        </is>
      </c>
      <c r="C9" s="6" t="inlineStr">
        <is>
          <t>Ens</t>
        </is>
      </c>
      <c r="D9" s="6" t="n">
        <v>1</v>
      </c>
      <c r="E9" s="8" t="n">
        <v>0</v>
      </c>
      <c r="F9" s="8">
        <f>D9*E9</f>
        <v/>
      </c>
      <c r="G9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10">
      <c r="A10" s="6" t="n"/>
      <c r="B10" s="6" t="inlineStr">
        <is>
          <t>Fourniture, pose et raccordement répartiteur informatique secondaire Ouest 1 — switch fourni par EXYTE, pose et paramétrage PROSYB</t>
        </is>
      </c>
      <c r="C10" s="6" t="inlineStr">
        <is>
          <t>Ens</t>
        </is>
      </c>
      <c r="D10" s="6" t="n">
        <v>1</v>
      </c>
      <c r="E10" s="8" t="n">
        <v>0</v>
      </c>
      <c r="F10" s="8">
        <f>D10*E10</f>
        <v/>
      </c>
      <c r="G10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11">
      <c r="A11" s="6" t="n"/>
      <c r="B11" s="6" t="inlineStr">
        <is>
          <t>Fourniture, pose et raccordement répartiteur informatique secondaire Ouest 2 — switch fourni par EXYTE, pose et paramétrage PROSYB</t>
        </is>
      </c>
      <c r="C11" s="6" t="inlineStr">
        <is>
          <t>Ens</t>
        </is>
      </c>
      <c r="D11" s="6" t="n">
        <v>1</v>
      </c>
      <c r="E11" s="8" t="n">
        <v>0</v>
      </c>
      <c r="F11" s="8">
        <f>D11*E11</f>
        <v/>
      </c>
      <c r="G11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12">
      <c r="A12" s="6" t="n"/>
      <c r="B12" s="6" t="inlineStr">
        <is>
          <t>Fourniture, pose et raccordement boucle fibre OS2 12 brins autocicatrisante depuis le répartiteur principal poste énergie Hub 1 vers répartiteurs secondaires Est 1, Est 2, Ouest 1, Ouest 2 et Ouest 3</t>
        </is>
      </c>
      <c r="C12" s="6" t="inlineStr">
        <is>
          <t>Ens</t>
        </is>
      </c>
      <c r="D12" s="6" t="n">
        <v>1</v>
      </c>
      <c r="E12" s="8" t="n"/>
      <c r="F12" s="8">
        <f>D12*E12</f>
        <v/>
      </c>
      <c r="G12" s="6" t="n"/>
    </row>
    <row r="13">
      <c r="A13" s="6" t="n"/>
      <c r="B13" s="6" t="inlineStr">
        <is>
          <t>Fourniture, pose et raccordement liaison fibre OS2 12 brins autocicatrisante depuis le répartiteur principal poste énergie Hub 1 vers le répartiteur princiapl Hub 2</t>
        </is>
      </c>
      <c r="C13" s="6" t="inlineStr">
        <is>
          <t>Ens</t>
        </is>
      </c>
      <c r="D13" s="6" t="n">
        <v>1</v>
      </c>
      <c r="E13" s="8" t="n"/>
      <c r="F13" s="8">
        <f>D13*E13</f>
        <v/>
      </c>
      <c r="G13" s="6" t="n"/>
    </row>
    <row r="14">
      <c r="A14" s="6" t="n"/>
      <c r="B14" s="6" t="inlineStr">
        <is>
          <t>Paramétrage équipements informatiques</t>
        </is>
      </c>
      <c r="C14" s="6" t="inlineStr">
        <is>
          <t>Ens</t>
        </is>
      </c>
      <c r="D14" s="6" t="n">
        <v>1</v>
      </c>
      <c r="E14" s="8" t="n"/>
      <c r="F14" s="8">
        <f>D14*E14</f>
        <v/>
      </c>
      <c r="G14" s="6" t="n"/>
    </row>
    <row r="15">
      <c r="A15" s="6" t="n"/>
      <c r="B15" s="6" t="inlineStr">
        <is>
          <t>Test de réfléctométrie</t>
        </is>
      </c>
      <c r="C15" s="6" t="inlineStr">
        <is>
          <t>Ens</t>
        </is>
      </c>
      <c r="D15" s="6" t="n">
        <v>1</v>
      </c>
      <c r="E15" s="8" t="n"/>
      <c r="F15" s="8">
        <f>D15*E15</f>
        <v/>
      </c>
      <c r="G15" s="6" t="n"/>
    </row>
    <row r="16">
      <c r="A16" s="6" t="n"/>
      <c r="B16" s="7" t="inlineStr">
        <is>
          <t>Informatique îlots 1 et 2</t>
        </is>
      </c>
      <c r="C16" s="6" t="n"/>
      <c r="D16" s="6" t="n"/>
      <c r="E16" s="8" t="n"/>
      <c r="F16" s="8" t="n"/>
      <c r="G16" s="6" t="n"/>
    </row>
    <row r="17">
      <c r="A17" s="6" t="n"/>
      <c r="B17" s="6" t="inlineStr">
        <is>
          <t>Fourniture, pose et raccordement liaison cuivre répartiteur informatique principal vers équipements (postes de travail CAD + bornes WiFi), 12 prises RJ45 par îlot, soit 24 prises RJ45 au total</t>
        </is>
      </c>
      <c r="C17" s="6" t="inlineStr">
        <is>
          <t>Ens</t>
        </is>
      </c>
      <c r="D17" s="6" t="n">
        <v>1</v>
      </c>
      <c r="E17" s="8" t="n"/>
      <c r="F17" s="8">
        <f>D17*E17</f>
        <v/>
      </c>
      <c r="G17" s="6" t="n"/>
    </row>
    <row r="18">
      <c r="A18" s="6" t="n"/>
      <c r="B18" s="6" t="inlineStr">
        <is>
          <t>Pose et raccordement borne WiFi</t>
        </is>
      </c>
      <c r="C18" s="6" t="inlineStr">
        <is>
          <t>U</t>
        </is>
      </c>
      <c r="D18" s="6" t="n">
        <v>4</v>
      </c>
      <c r="E18" s="8" t="n"/>
      <c r="F18" s="8">
        <f>D18*E18</f>
        <v/>
      </c>
      <c r="G18" s="6" t="n"/>
    </row>
    <row r="19">
      <c r="A19" s="6" t="n"/>
      <c r="B19" s="6" t="inlineStr">
        <is>
          <t>Fourniture, pose et raccordement équipements audiovisuel salle de réunion (Un écran 85" par salle de réunion, avec enceinte caméra combinée + kit 5x micros déportés connectés)</t>
        </is>
      </c>
      <c r="C19" s="6" t="inlineStr">
        <is>
          <t>U</t>
        </is>
      </c>
      <c r="D19" s="6" t="n">
        <v>3</v>
      </c>
      <c r="E19" s="9" t="n">
        <v>8102.65</v>
      </c>
      <c r="F19" s="8">
        <f>D19*E19</f>
        <v/>
      </c>
      <c r="G19" s="10" t="inlineStr">
        <is>
          <t>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</row>
    <row r="20">
      <c r="A20" s="6" t="n"/>
      <c r="B20" s="6" t="inlineStr">
        <is>
          <t>Recettage cuivre</t>
        </is>
      </c>
      <c r="C20" s="6" t="inlineStr">
        <is>
          <t>Ens</t>
        </is>
      </c>
      <c r="D20" s="6" t="n">
        <v>1</v>
      </c>
      <c r="E20" s="8" t="n"/>
      <c r="F20" s="8">
        <f>D20*E20</f>
        <v/>
      </c>
      <c r="G20" s="6" t="n"/>
    </row>
    <row r="21">
      <c r="A21" s="4" t="inlineStr">
        <is>
          <t>4.1</t>
        </is>
      </c>
      <c r="B21" s="4" t="inlineStr">
        <is>
          <t>Phase 3 (5 mois)</t>
        </is>
      </c>
      <c r="C21" s="4" t="n"/>
      <c r="D21" s="4" t="n"/>
      <c r="E21" s="5" t="n"/>
      <c r="F21" s="5" t="n"/>
      <c r="G21" s="4" t="n"/>
    </row>
    <row r="22">
      <c r="A22" s="6" t="n"/>
      <c r="B22" s="7" t="inlineStr">
        <is>
          <t>Informatique cœur de réseau</t>
        </is>
      </c>
      <c r="C22" s="6" t="n"/>
      <c r="D22" s="6" t="n"/>
      <c r="E22" s="8" t="n"/>
      <c r="F22" s="8" t="n"/>
      <c r="G22" s="6" t="n"/>
    </row>
    <row r="23">
      <c r="A23" s="6" t="n"/>
      <c r="B23" s="6" t="inlineStr">
        <is>
          <t>Sans objet</t>
        </is>
      </c>
      <c r="C23" s="6" t="inlineStr">
        <is>
          <t>Ens</t>
        </is>
      </c>
      <c r="D23" s="6" t="n">
        <v>1</v>
      </c>
      <c r="E23" s="8" t="n"/>
      <c r="F23" s="8">
        <f>D23*E23</f>
        <v/>
      </c>
      <c r="G23" s="6" t="n"/>
    </row>
    <row r="24">
      <c r="A24" s="6" t="n"/>
      <c r="B24" s="7" t="inlineStr">
        <is>
          <t>Informatique îlots 3 à 10</t>
        </is>
      </c>
      <c r="C24" s="6" t="n"/>
      <c r="D24" s="6" t="n"/>
      <c r="E24" s="8" t="n"/>
      <c r="F24" s="8" t="n"/>
      <c r="G24" s="6" t="n"/>
    </row>
    <row r="25">
      <c r="A25" s="6" t="n"/>
      <c r="B25" s="6" t="inlineStr">
        <is>
          <t>Fourniture, pose et raccordement liaisons cuivre répartiteur informatique principal vers équipements (postes de travail CAD + bornes WiFi), 12 prises RJ45 par îlot, soit 96 prises RJ45 au total</t>
        </is>
      </c>
      <c r="C25" s="6" t="inlineStr">
        <is>
          <t>Ens</t>
        </is>
      </c>
      <c r="D25" s="6" t="n">
        <v>1</v>
      </c>
      <c r="E25" s="8" t="n"/>
      <c r="F25" s="8">
        <f>D25*E25</f>
        <v/>
      </c>
      <c r="G25" s="6" t="n"/>
    </row>
    <row r="26">
      <c r="A26" s="6" t="n"/>
      <c r="B26" s="6" t="inlineStr">
        <is>
          <t>Fourniture, pose et raccordement borne WiFi</t>
        </is>
      </c>
      <c r="C26" s="6" t="inlineStr">
        <is>
          <t>U</t>
        </is>
      </c>
      <c r="D26" s="6" t="n">
        <v>20</v>
      </c>
      <c r="E26" s="8" t="n"/>
      <c r="F26" s="8">
        <f>D26*E26</f>
        <v/>
      </c>
      <c r="G26" s="6" t="n"/>
    </row>
    <row r="27">
      <c r="A27" s="6" t="n"/>
      <c r="B27" s="6" t="inlineStr">
        <is>
          <t>Fourniture, pose et raccordement équipements audiovisuel salle de réunion (Un écran 85" par salle de réunion, avec enceinte caméra combinée + kit 5x micros déportés connectés)</t>
        </is>
      </c>
      <c r="C27" s="6" t="inlineStr">
        <is>
          <t>U</t>
        </is>
      </c>
      <c r="D27" s="6" t="n">
        <v>7</v>
      </c>
      <c r="E27" s="9" t="n">
        <v>8102.65</v>
      </c>
      <c r="F27" s="8">
        <f>D27*E27</f>
        <v/>
      </c>
      <c r="G27" s="10" t="inlineStr">
        <is>
          <t>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</row>
    <row r="28">
      <c r="A28" s="6" t="n"/>
      <c r="B28" s="6" t="inlineStr">
        <is>
          <t>Recettage cuivre</t>
        </is>
      </c>
      <c r="C28" s="6" t="inlineStr">
        <is>
          <t>Ens</t>
        </is>
      </c>
      <c r="D28" s="6" t="n">
        <v>1</v>
      </c>
      <c r="E28" s="8" t="n"/>
      <c r="F28" s="8">
        <f>D28*E28</f>
        <v/>
      </c>
      <c r="G28" s="6" t="n"/>
    </row>
    <row r="29">
      <c r="A29" s="6" t="n"/>
      <c r="B29" s="7" t="inlineStr">
        <is>
          <t>Informatique chantier</t>
        </is>
      </c>
      <c r="C29" s="6" t="n"/>
      <c r="D29" s="6" t="n"/>
      <c r="E29" s="8" t="n"/>
      <c r="F29" s="8" t="n"/>
      <c r="G29" s="6" t="n"/>
    </row>
    <row r="30">
      <c r="A30" s="6" t="n"/>
      <c r="B30" s="6" t="inlineStr">
        <is>
          <t>Fourniture, pose et raccordement répartiteur secondaire bâtiments annexes</t>
        </is>
      </c>
      <c r="C30" s="6" t="inlineStr">
        <is>
          <t>U</t>
        </is>
      </c>
      <c r="D30" s="6" t="n">
        <v>2</v>
      </c>
      <c r="E30" s="8" t="n"/>
      <c r="F30" s="8">
        <f>D30*E30</f>
        <v/>
      </c>
      <c r="G30" s="6" t="n"/>
    </row>
    <row r="31">
      <c r="A31" s="6" t="n"/>
      <c r="B31" s="6" t="inlineStr">
        <is>
          <t>Fourniture, pose et raccordement liaisons RJ45 CAT6A F/STP bâtiments techniques &amp; extérieurs</t>
        </is>
      </c>
      <c r="C31" s="6" t="inlineStr">
        <is>
          <t>U</t>
        </is>
      </c>
      <c r="D31" s="6" t="n">
        <v>30</v>
      </c>
      <c r="E31" s="8" t="n"/>
      <c r="F31" s="8">
        <f>D31*E31</f>
        <v/>
      </c>
      <c r="G31" s="6" t="n"/>
    </row>
    <row r="32">
      <c r="A32" s="6" t="n"/>
      <c r="B32" s="6" t="inlineStr">
        <is>
          <t>Recettage cuivre</t>
        </is>
      </c>
      <c r="C32" s="6" t="inlineStr">
        <is>
          <t>Ens</t>
        </is>
      </c>
      <c r="D32" s="6" t="n">
        <v>1</v>
      </c>
      <c r="E32" s="8" t="n"/>
      <c r="F32" s="8">
        <f>D32*E32</f>
        <v/>
      </c>
      <c r="G32" s="6" t="n"/>
    </row>
    <row r="33">
      <c r="A33" s="6" t="n"/>
      <c r="B33" s="7" t="inlineStr">
        <is>
          <t>Afficheurs chantier</t>
        </is>
      </c>
      <c r="C33" s="6" t="n"/>
      <c r="D33" s="6" t="n"/>
      <c r="E33" s="8" t="n"/>
      <c r="F33" s="8" t="n"/>
      <c r="G33" s="6" t="n"/>
    </row>
    <row r="34">
      <c r="A34" s="6" t="n"/>
      <c r="B34" s="6" t="inlineStr">
        <is>
          <t>Fourniture, pose et raccordement afficheurs chantier extérieur + Support</t>
        </is>
      </c>
      <c r="C34" s="6" t="inlineStr">
        <is>
          <t>U</t>
        </is>
      </c>
      <c r="D34" s="6" t="n">
        <v>6</v>
      </c>
      <c r="E34" s="9" t="n">
        <v>4852.81</v>
      </c>
      <c r="F34" s="8">
        <f>D34*E34</f>
        <v/>
      </c>
      <c r="G34" s="10" t="inlineStr">
        <is>
          <t>Fourniture seule SONEPAR offre 0014640130 du 16/10/2026, prix par afficheur : écran extérieur Samsung OHDX 55" LH55OHDEBGBXEN (3 500 cd/m², IP56) (3 752,00 €) + lecteur Navori StiX 3800 (450,00 €) + licence Navori (450,00 €) + switch PoE TP-Link SG2210MP (164,19 €) + cordon HDMI 2 m (11,58 €) + D3E (0,04 €) + quote-part port (25,00 €) = 4 852,81 €. SUPPORTS NON CHIFFRÉS (prix attendu Sonepar début de semaine) : 3 totems ERARD PRO OUTDOOH réf. 665155 (prévu pour OH55F, écran en portrait — compatibilité OHDX à confirmer par ERARD) + 3 bras muraux orientables antivol. Pose/MO à ajouter.</t>
        </is>
      </c>
    </row>
    <row r="35">
      <c r="A35" s="6" t="n"/>
      <c r="B35" s="6" t="inlineStr">
        <is>
          <t>Paramétrage</t>
        </is>
      </c>
      <c r="C35" s="6" t="inlineStr">
        <is>
          <t>Ens</t>
        </is>
      </c>
      <c r="D35" s="6" t="n">
        <v>1</v>
      </c>
      <c r="E35" s="9" t="n">
        <v>0</v>
      </c>
      <c r="F35" s="8">
        <f>D35*E35</f>
        <v/>
      </c>
      <c r="G35" s="10" t="inlineStr">
        <is>
          <t>Licences Navori incluses dans la ligne afficheurs (et salles). Serveur de diffusion Navori QL sur site (baie Hub 1) NON chiffré par Sonepar : PC serveur + éventuelle licence serveur à chiffrer ; durée licence PRD-1011571 (perpétuelle sur site ou abonnement) à confirmer. Paramétrage, charte et formation = MO PROSYB à ajouter.</t>
        </is>
      </c>
    </row>
    <row r="36">
      <c r="A36" s="4" t="inlineStr">
        <is>
          <t>4.1</t>
        </is>
      </c>
      <c r="B36" s="4" t="inlineStr">
        <is>
          <t>Phase 4 (17 mois)</t>
        </is>
      </c>
      <c r="C36" s="4" t="n"/>
      <c r="D36" s="4" t="n"/>
      <c r="E36" s="5" t="n"/>
      <c r="F36" s="5" t="n"/>
      <c r="G36" s="4" t="n"/>
    </row>
    <row r="37">
      <c r="A37" s="6" t="n"/>
      <c r="B37" s="7" t="inlineStr">
        <is>
          <t>Informatique cœur de réseau</t>
        </is>
      </c>
      <c r="C37" s="6" t="n"/>
      <c r="D37" s="6" t="n"/>
      <c r="E37" s="8" t="n"/>
      <c r="F37" s="8" t="n"/>
      <c r="G37" s="6" t="n"/>
    </row>
    <row r="38">
      <c r="A38" s="6" t="n"/>
      <c r="B38" s="6" t="inlineStr">
        <is>
          <t>Fourniture, pose et raccordement répartiteur informatique principal dans poste énergie Hub 3 — switch fourni par EXYTE, pose et paramétrage PROSYB</t>
        </is>
      </c>
      <c r="C38" s="6" t="inlineStr">
        <is>
          <t>Ens</t>
        </is>
      </c>
      <c r="D38" s="6" t="n">
        <v>1</v>
      </c>
      <c r="E38" s="8" t="n">
        <v>0</v>
      </c>
      <c r="F38" s="8">
        <f>D38*E38</f>
        <v/>
      </c>
      <c r="G38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39">
      <c r="A39" s="6" t="n"/>
      <c r="B39" s="6" t="inlineStr">
        <is>
          <t>Fourniture, pose et raccordement fibre OS2 12 brins depuis répartiteur principal poste énergie Hub 1 vers répartiteur principal poste énergie Hub 3</t>
        </is>
      </c>
      <c r="C39" s="6" t="inlineStr">
        <is>
          <t>Ens</t>
        </is>
      </c>
      <c r="D39" s="6" t="n">
        <v>1</v>
      </c>
      <c r="E39" s="8" t="n"/>
      <c r="F39" s="8">
        <f>D39*E39</f>
        <v/>
      </c>
      <c r="G39" s="6" t="n"/>
    </row>
    <row r="40">
      <c r="A40" s="6" t="n"/>
      <c r="B40" s="6" t="inlineStr">
        <is>
          <t>Fourniture, pose et raccordement fibre OS2 12 brins depuis répartiteur principal poste énergie Hub 3 vers répartiteurs secondaires A (Ilots 1 à 10)</t>
        </is>
      </c>
      <c r="C40" s="6" t="inlineStr">
        <is>
          <t>Ens</t>
        </is>
      </c>
      <c r="D40" s="6" t="n">
        <v>1</v>
      </c>
      <c r="E40" s="8" t="n"/>
      <c r="F40" s="8">
        <f>D40*E40</f>
        <v/>
      </c>
      <c r="G40" s="6" t="n"/>
    </row>
    <row r="41">
      <c r="A41" s="6" t="n"/>
      <c r="B41" s="6" t="inlineStr">
        <is>
          <t>Fourniture, pose et raccordement fibre OS2 12 brins depuis répartiteur principal poste énergie Hub 3 vers répartiteurs secondaires B (Ilots 11 à 20)</t>
        </is>
      </c>
      <c r="C41" s="6" t="inlineStr">
        <is>
          <t>Ens</t>
        </is>
      </c>
      <c r="D41" s="6" t="n">
        <v>1</v>
      </c>
      <c r="E41" s="8" t="n"/>
      <c r="F41" s="8">
        <f>D41*E41</f>
        <v/>
      </c>
      <c r="G41" s="6" t="n"/>
    </row>
    <row r="42">
      <c r="A42" s="6" t="n"/>
      <c r="B42" s="6" t="inlineStr">
        <is>
          <t>Paramétrage équipements informatiques</t>
        </is>
      </c>
      <c r="C42" s="6" t="inlineStr">
        <is>
          <t>Ens</t>
        </is>
      </c>
      <c r="D42" s="6" t="n">
        <v>1</v>
      </c>
      <c r="E42" s="8" t="n"/>
      <c r="F42" s="8">
        <f>D42*E42</f>
        <v/>
      </c>
      <c r="G42" s="6" t="n"/>
    </row>
    <row r="43">
      <c r="A43" s="6" t="n"/>
      <c r="B43" s="6" t="inlineStr">
        <is>
          <t>Test de réfléctométrie</t>
        </is>
      </c>
      <c r="C43" s="6" t="inlineStr">
        <is>
          <t>Ens</t>
        </is>
      </c>
      <c r="D43" s="6" t="n">
        <v>1</v>
      </c>
      <c r="E43" s="8" t="n"/>
      <c r="F43" s="8">
        <f>D43*E43</f>
        <v/>
      </c>
      <c r="G43" s="6" t="n"/>
    </row>
    <row r="44">
      <c r="A44" s="6" t="n"/>
      <c r="B44" s="7" t="inlineStr">
        <is>
          <t>Informatique îlots 1 à 20</t>
        </is>
      </c>
      <c r="C44" s="6" t="n"/>
      <c r="D44" s="6" t="n"/>
      <c r="E44" s="8" t="n"/>
      <c r="F44" s="8" t="n"/>
      <c r="G44" s="6" t="n"/>
    </row>
    <row r="45">
      <c r="A45" s="6" t="n"/>
      <c r="B45" s="6" t="inlineStr">
        <is>
          <t>Fourniture, pose et raccordement répartiteur informatique secondaires base vie phase 4 — switch fourni par EXYTE, pose et paramétrage PROSYB</t>
        </is>
      </c>
      <c r="C45" s="6" t="inlineStr">
        <is>
          <t>U</t>
        </is>
      </c>
      <c r="D45" s="6" t="n">
        <v>2</v>
      </c>
      <c r="E45" s="8" t="n">
        <v>0</v>
      </c>
      <c r="F45" s="8">
        <f>D45*E45</f>
        <v/>
      </c>
      <c r="G45" s="6" t="inlineStr">
        <is>
          <t>Switch informatique (bureautique) FOURNI PAR EXYTE (confirmé par Ahmed SPIE le 16/10/2026) : fourniture retirée ; installation, raccordement et paramétrage restent à la charge PROSYB (MO à chiffrer). Baie/répartiteur restent PROSYB.</t>
        </is>
      </c>
    </row>
    <row r="46">
      <c r="A46" s="6" t="n"/>
      <c r="B46" s="6" t="inlineStr">
        <is>
          <t>Fourniture, pose et raccordement liaisons RJ45 CAT6A F/STP répartiteur informatique secondaire vers équipements (postes de travail CAD + bornes WiFi), 18 prises RJ45 par îlot, soit 360 prises RJ45</t>
        </is>
      </c>
      <c r="C46" s="6" t="inlineStr">
        <is>
          <t>Ens</t>
        </is>
      </c>
      <c r="D46" s="6" t="n">
        <v>1</v>
      </c>
      <c r="E46" s="8" t="n"/>
      <c r="F46" s="8">
        <f>D46*E46</f>
        <v/>
      </c>
      <c r="G46" s="6" t="n"/>
    </row>
    <row r="47">
      <c r="A47" s="6" t="n"/>
      <c r="B47" s="6" t="inlineStr">
        <is>
          <t>Pose et raccordement borne WiFi</t>
        </is>
      </c>
      <c r="C47" s="6" t="inlineStr">
        <is>
          <t>U</t>
        </is>
      </c>
      <c r="D47" s="6" t="n">
        <v>60</v>
      </c>
      <c r="E47" s="8" t="n"/>
      <c r="F47" s="8">
        <f>D47*E47</f>
        <v/>
      </c>
      <c r="G47" s="6" t="n"/>
    </row>
    <row r="48">
      <c r="A48" s="6" t="n"/>
      <c r="B48" s="6" t="inlineStr">
        <is>
          <t>Recettage cuivre</t>
        </is>
      </c>
      <c r="C48" s="6" t="inlineStr">
        <is>
          <t>Ens</t>
        </is>
      </c>
      <c r="D48" s="6" t="n">
        <v>1</v>
      </c>
      <c r="E48" s="8" t="n"/>
      <c r="F48" s="8">
        <f>D48*E48</f>
        <v/>
      </c>
      <c r="G48" s="6" t="n"/>
    </row>
    <row r="50">
      <c r="A50" s="2" t="inlineStr">
        <is>
          <t>5</t>
        </is>
      </c>
      <c r="B50" s="2" t="inlineStr">
        <is>
          <t>SECURITE SSI</t>
        </is>
      </c>
      <c r="C50" s="2" t="n"/>
      <c r="D50" s="2" t="n"/>
      <c r="E50" s="3" t="n"/>
      <c r="F50" s="3" t="n"/>
      <c r="G50" s="2" t="n"/>
    </row>
    <row r="51">
      <c r="A51" s="4" t="inlineStr">
        <is>
          <t>5.1</t>
        </is>
      </c>
      <c r="B51" s="4" t="inlineStr">
        <is>
          <t>Phase 2 (2 mois)</t>
        </is>
      </c>
      <c r="C51" s="4" t="n"/>
      <c r="D51" s="4" t="n"/>
      <c r="E51" s="5" t="n"/>
      <c r="F51" s="5" t="n"/>
      <c r="G51" s="4" t="n"/>
    </row>
    <row r="52">
      <c r="A52" s="6" t="n"/>
      <c r="B52" s="6" t="inlineStr">
        <is>
          <t>Fourniture, pose et raccordement coffret report de contact SSI poste de garde principal</t>
        </is>
      </c>
      <c r="C52" s="6" t="inlineStr">
        <is>
          <t>Ens</t>
        </is>
      </c>
      <c r="D52" s="6" t="n">
        <v>1</v>
      </c>
      <c r="E52" s="8" t="n"/>
      <c r="F52" s="8">
        <f>D52*E52</f>
        <v/>
      </c>
      <c r="G52" s="6" t="n"/>
    </row>
    <row r="53">
      <c r="A53" s="6" t="n"/>
      <c r="B53" s="6" t="inlineStr">
        <is>
          <t>Fourniture, pose et raccordement liaisons coffret report de contact SSI vers alarmes BAAS SSI îlots 1 et 2, poste de garde, poste énergie Hub 1</t>
        </is>
      </c>
      <c r="C53" s="6" t="inlineStr">
        <is>
          <t>Ens</t>
        </is>
      </c>
      <c r="D53" s="6" t="n">
        <v>1</v>
      </c>
      <c r="E53" s="8" t="n"/>
      <c r="F53" s="8">
        <f>D53*E53</f>
        <v/>
      </c>
      <c r="G53" s="6" t="n"/>
    </row>
    <row r="54">
      <c r="A54" s="6" t="n"/>
      <c r="B54" s="6" t="inlineStr">
        <is>
          <t>Fourniture, pose et raccordement centrale type 3 SSI poste de garde, y compris déclencheurs manuels et sirenes</t>
        </is>
      </c>
      <c r="C54" s="6" t="inlineStr">
        <is>
          <t>Ens</t>
        </is>
      </c>
      <c r="D54" s="6" t="n">
        <v>1</v>
      </c>
      <c r="E54" s="8" t="n">
        <v>327.4</v>
      </c>
      <c r="F54" s="8">
        <f>D54*E54</f>
        <v/>
      </c>
      <c r="G54" s="6" t="inlineStr">
        <is>
          <t>Fourniture seule AVISS devis AE2610CO901 v2 du 13/10/2026 : CONCEPT 3 (177 €) + 1 DM 4710R1 (23,40 €) + capot CPDM (4 €) + télécommande TMS-300 (98 €) + frais de port (25 €) - pose/câblage/MO à ajouter</t>
        </is>
      </c>
    </row>
    <row r="55">
      <c r="A55" s="6" t="n"/>
      <c r="B55" s="6" t="inlineStr">
        <is>
          <t>Fourniture, pose et raccordement centrale type 3 SSI Poste Energie Hub 1, y compris déclencheurs manuels et sirenes</t>
        </is>
      </c>
      <c r="C55" s="6" t="inlineStr">
        <is>
          <t>Ens</t>
        </is>
      </c>
      <c r="D55" s="6" t="n">
        <v>1</v>
      </c>
      <c r="E55" s="8" t="n">
        <v>302.4</v>
      </c>
      <c r="F55" s="8">
        <f>D55*E55</f>
        <v/>
      </c>
      <c r="G55" s="6" t="inlineStr">
        <is>
          <t>Fourniture seule AVISS devis AE2610CO901 v2 du 13/10/2026 : CONCEPT 3 (177 €) + 1 DM 4710R1 (23,40 €) + capot CPDM (4 €) + télécommande TMS-300 (98 €) - pose/câblage/MO à ajouter</t>
        </is>
      </c>
    </row>
    <row r="56">
      <c r="A56" s="6" t="n"/>
      <c r="B56" s="6" t="inlineStr">
        <is>
          <t>Fourniture, pose et raccordement centrale type 3 SSI Poste Energie Hub 2, y compris déclencheurs manuels et sirenes</t>
        </is>
      </c>
      <c r="C56" s="6" t="inlineStr">
        <is>
          <t>Ens</t>
        </is>
      </c>
      <c r="D56" s="6" t="n">
        <v>1</v>
      </c>
      <c r="E56" s="8" t="n">
        <v>357.2</v>
      </c>
      <c r="F56" s="8">
        <f>D56*E56</f>
        <v/>
      </c>
      <c r="G56" s="6" t="inlineStr">
        <is>
          <t>Fourniture seule AVISS devis AE2610CO901 v2 du 13/10/2026 : CONCEPT 3 (177 €) + 3 DM 4710R1 (70,20 €) + 3 capots CPDM (12 €) + télécommande TMS-300 (98 €) - pose/câblage/MO à ajouter</t>
        </is>
      </c>
    </row>
    <row r="57">
      <c r="A57" s="6" t="inlineStr">
        <is>
          <t>Hors lot</t>
        </is>
      </c>
      <c r="B57" s="7" t="inlineStr">
        <is>
          <t>Fourniture, pose et raccordement centrale type 4 SSI Ilots 1 et 2, y compris déclencheurs manuels et sirenes</t>
        </is>
      </c>
      <c r="C57" s="6" t="n"/>
      <c r="D57" s="6" t="n"/>
      <c r="E57" s="8" t="n"/>
      <c r="F57" s="8" t="n"/>
      <c r="G57" s="6" t="n"/>
    </row>
    <row r="58">
      <c r="A58" s="6" t="n"/>
      <c r="B58" s="6" t="inlineStr">
        <is>
          <t>Fourniture, pose et raccordement déclencheurs manuels chantier</t>
        </is>
      </c>
      <c r="C58" s="6" t="inlineStr">
        <is>
          <t>Ens</t>
        </is>
      </c>
      <c r="D58" s="6" t="n">
        <v>1</v>
      </c>
      <c r="E58" s="8" t="n">
        <v>1376</v>
      </c>
      <c r="F58" s="8">
        <f>D58*E58</f>
        <v/>
      </c>
      <c r="G58" s="6" t="inlineStr">
        <is>
          <t>Fourniture seule AVISS devis AE2610CO901 v2 du 13/10/2026 : 16 DM étanches IP65 4713R1C avec capot à 86 € (implantation PROSYB : 4 accès, 4 zones, 8 en périphérie du bâtiment) - pose/câblage/MO à ajouter</t>
        </is>
      </c>
    </row>
    <row r="59">
      <c r="A59" s="6" t="n"/>
      <c r="B59" s="6" t="inlineStr">
        <is>
          <t>Fourniture, pose et raccordement diffuseurs sonores chantier</t>
        </is>
      </c>
      <c r="C59" s="6" t="inlineStr">
        <is>
          <t>Ens</t>
        </is>
      </c>
      <c r="D59" s="6" t="n">
        <v>1</v>
      </c>
      <c r="E59" s="8" t="n">
        <v>2124</v>
      </c>
      <c r="F59" s="8">
        <f>D59*E59</f>
        <v/>
      </c>
      <c r="G59" s="6" t="inlineStr">
        <is>
          <t>Fourniture seule AVISS devis AE2610CO901 v2 du 13/10/2026 : 12 équipements d'alarme sonores et lumineux CONCEPT 3 (BAAS Ma, IP45) à 177 € utilisés comme diffuseurs chantier - pose/câblage/MO à ajouter ; IP45 à protéger des intempéries (pose sous abri)</t>
        </is>
      </c>
    </row>
    <row r="60">
      <c r="A60" s="6" t="n"/>
      <c r="B60" s="6" t="inlineStr">
        <is>
          <t>Paramétrage et mise en service</t>
        </is>
      </c>
      <c r="C60" s="6" t="inlineStr">
        <is>
          <t>Ens</t>
        </is>
      </c>
      <c r="D60" s="6" t="n">
        <v>1</v>
      </c>
      <c r="E60" s="8" t="n"/>
      <c r="F60" s="8">
        <f>D60*E60</f>
        <v/>
      </c>
      <c r="G60" s="6" t="n"/>
    </row>
    <row r="61">
      <c r="A61" s="4" t="inlineStr">
        <is>
          <t>5.2</t>
        </is>
      </c>
      <c r="B61" s="4" t="inlineStr">
        <is>
          <t>Phase 3 (5 mois)</t>
        </is>
      </c>
      <c r="C61" s="4" t="n"/>
      <c r="D61" s="4" t="n"/>
      <c r="E61" s="5" t="n"/>
      <c r="F61" s="5" t="n"/>
      <c r="G61" s="4" t="n"/>
    </row>
    <row r="62">
      <c r="A62" s="6" t="n"/>
      <c r="B62" s="6" t="inlineStr">
        <is>
          <t>Fourniture, pose et raccordement liaisons coffret report de contact SSI vers centrales SSI îlots 3 à 10</t>
        </is>
      </c>
      <c r="C62" s="6" t="inlineStr">
        <is>
          <t>Ens</t>
        </is>
      </c>
      <c r="D62" s="6" t="n">
        <v>1</v>
      </c>
      <c r="E62" s="8" t="n"/>
      <c r="F62" s="8">
        <f>D62*E62</f>
        <v/>
      </c>
      <c r="G62" s="6" t="n"/>
    </row>
    <row r="63">
      <c r="A63" s="6" t="inlineStr">
        <is>
          <t>Hors lot</t>
        </is>
      </c>
      <c r="B63" s="7" t="inlineStr">
        <is>
          <t>Fourniture, pose et raccordement centrale type 4 SSI Ilots 3 à 10, y compris déclencheurs manuels et sirenes</t>
        </is>
      </c>
      <c r="C63" s="6" t="n"/>
      <c r="D63" s="6" t="n"/>
      <c r="E63" s="8" t="n"/>
      <c r="F63" s="8" t="n"/>
      <c r="G63" s="6" t="n"/>
    </row>
    <row r="64">
      <c r="A64" s="6" t="n"/>
      <c r="B64" s="6" t="inlineStr">
        <is>
          <t>Paramétrage et mise en service</t>
        </is>
      </c>
      <c r="C64" s="6" t="inlineStr">
        <is>
          <t>Ens</t>
        </is>
      </c>
      <c r="D64" s="6" t="n">
        <v>1</v>
      </c>
      <c r="E64" s="8" t="n"/>
      <c r="F64" s="8">
        <f>D64*E64</f>
        <v/>
      </c>
      <c r="G64" s="6" t="n"/>
    </row>
    <row r="65">
      <c r="A65" s="4" t="inlineStr">
        <is>
          <t>5.3</t>
        </is>
      </c>
      <c r="B65" s="4" t="inlineStr">
        <is>
          <t>Phase 4 (17 mois)</t>
        </is>
      </c>
      <c r="C65" s="4" t="n"/>
      <c r="D65" s="4" t="n"/>
      <c r="E65" s="5" t="n"/>
      <c r="F65" s="5" t="n"/>
      <c r="G65" s="4" t="n"/>
    </row>
    <row r="66">
      <c r="A66" s="6" t="n"/>
      <c r="B66" s="6" t="inlineStr">
        <is>
          <t>Fourniture, pose et raccordement centrale type 3 SSI Poste Energie Hub 3, y compris déclencheurs manuels et sirenes</t>
        </is>
      </c>
      <c r="C66" s="6" t="inlineStr">
        <is>
          <t>Ens</t>
        </is>
      </c>
      <c r="D66" s="6" t="n">
        <v>1</v>
      </c>
      <c r="E66" s="8" t="n">
        <v>302.4</v>
      </c>
      <c r="F66" s="8">
        <f>D66*E66</f>
        <v/>
      </c>
      <c r="G66" s="6" t="inlineStr">
        <is>
          <t>Fourniture seule AVISS devis AE2610CO901 v2 du 13/10/2026 : CONCEPT 3 (177 €) + 1 DM 4710R1 (23,40 €) + capot CPDM (4 €) + télécommande TMS-300 (98 €) - pose/câblage/MO à ajouter</t>
        </is>
      </c>
    </row>
    <row r="67">
      <c r="A67" s="6" t="n"/>
      <c r="B67" s="6" t="inlineStr">
        <is>
          <t>Fourniture, pose et raccordement liaisons coffret report de contact SSI vers alarmes Type 3 SSI îlots 1 à 20, poste énergie Hub 3</t>
        </is>
      </c>
      <c r="C67" s="6" t="inlineStr">
        <is>
          <t>Ens</t>
        </is>
      </c>
      <c r="D67" s="6" t="n">
        <v>1</v>
      </c>
      <c r="E67" s="8" t="n"/>
      <c r="F67" s="8">
        <f>D67*E67</f>
        <v/>
      </c>
      <c r="G67" s="6" t="n"/>
    </row>
    <row r="68">
      <c r="A68" s="6" t="inlineStr">
        <is>
          <t>Hors lot</t>
        </is>
      </c>
      <c r="B68" s="7" t="inlineStr">
        <is>
          <t>Fourniture, pose et raccordement centrale type 3 SSI Ilots 1 à 20, y compris déclencheurs manuels et sirenes</t>
        </is>
      </c>
      <c r="C68" s="6" t="n"/>
      <c r="D68" s="6" t="n"/>
      <c r="E68" s="8" t="n"/>
      <c r="F68" s="8" t="n"/>
      <c r="G68" s="6" t="n"/>
    </row>
    <row r="69">
      <c r="A69" s="6" t="n"/>
      <c r="B69" s="6" t="inlineStr">
        <is>
          <t>Paramétrage et mise en service</t>
        </is>
      </c>
      <c r="C69" s="6" t="inlineStr">
        <is>
          <t>Ens</t>
        </is>
      </c>
      <c r="D69" s="6" t="n">
        <v>1</v>
      </c>
      <c r="E69" s="8" t="n"/>
      <c r="F69" s="8">
        <f>D69*E69</f>
        <v/>
      </c>
      <c r="G69" s="6" t="n"/>
    </row>
    <row r="71">
      <c r="A71" s="2" t="inlineStr">
        <is>
          <t>6</t>
        </is>
      </c>
      <c r="B71" s="2" t="inlineStr">
        <is>
          <t>VIDEOSURVEILLANCE</t>
        </is>
      </c>
      <c r="C71" s="2" t="n"/>
      <c r="D71" s="2" t="n"/>
      <c r="E71" s="3" t="n"/>
      <c r="F71" s="3" t="n"/>
      <c r="G71" s="2" t="n"/>
    </row>
    <row r="72">
      <c r="A72" s="4" t="inlineStr">
        <is>
          <t>6.1</t>
        </is>
      </c>
      <c r="B72" s="4" t="inlineStr">
        <is>
          <t>Phase 3 (5 mois)</t>
        </is>
      </c>
      <c r="C72" s="4" t="n"/>
      <c r="D72" s="4" t="n"/>
      <c r="E72" s="5" t="n"/>
      <c r="F72" s="5" t="n"/>
      <c r="G72" s="4" t="n"/>
    </row>
    <row r="73">
      <c r="A73" s="6" t="inlineStr">
        <is>
          <t>LOT GC</t>
        </is>
      </c>
      <c r="B73" s="6" t="inlineStr">
        <is>
          <t>Réalisation massif support candélabres pour mât caméra</t>
        </is>
      </c>
      <c r="C73" s="6" t="inlineStr">
        <is>
          <t>U</t>
        </is>
      </c>
      <c r="D73" s="6" t="n">
        <v>28</v>
      </c>
      <c r="E73" s="8" t="n"/>
      <c r="F73" s="8">
        <f>D73*E73</f>
        <v/>
      </c>
      <c r="G73" s="6" t="n"/>
    </row>
    <row r="74">
      <c r="A74" s="6" t="n"/>
      <c r="B74" s="6" t="inlineStr">
        <is>
          <t>Fourniture, pose et raccordement caméra fixe + mât (28 Caméras), avec maillage zone chantier + périphérie y compris intrusion marque HIKVISION</t>
        </is>
      </c>
      <c r="C74" s="6" t="inlineStr">
        <is>
          <t>U</t>
        </is>
      </c>
      <c r="D74" s="6" t="n">
        <v>28</v>
      </c>
      <c r="E74" s="8" t="n">
        <v>142.14</v>
      </c>
      <c r="F74" s="8">
        <f>D74*E74</f>
        <v/>
      </c>
      <c r="G74" s="6" t="inlineStr">
        <is>
          <t>Fourniture seule CCF devis 313371 du 12/10/2026 (caméra IP Bullet 4MP HIKVISION, 142,14€/u) - pose/mât/MO à ajouter</t>
        </is>
      </c>
    </row>
    <row r="75">
      <c r="A75" s="6" t="n"/>
      <c r="B75" s="6" t="inlineStr">
        <is>
          <t>Fourniture, pose et raccordement liaison RJ45 CAT6A F/STP POE pour alimentation caméras + switchs industriels rail DIN de vidéoprotection dans coffrets de zone (coffrets fournis et posés par SPIE)</t>
        </is>
      </c>
      <c r="C75" s="6" t="inlineStr">
        <is>
          <t>Ens</t>
        </is>
      </c>
      <c r="D75" s="6" t="n">
        <v>1</v>
      </c>
      <c r="E75" s="8" t="n">
        <v>6697.6</v>
      </c>
      <c r="F75" s="8">
        <f>D75*E75</f>
        <v/>
      </c>
      <c r="G75" s="6" t="inlineStr">
        <is>
          <t>Fourniture CCF devis 313371 du 12/10/2026 : 8 switchs industriels PoE rail DIN (3644,56€) + modules alim 48VDC (1874,88€) + boîtiers optiques rail DIN (307,68€) + modules SFP (870,48€). AUCUNE enveloppe/coffret extérieur à prévoir : coffret électrique fourni et posé par SPIE (lot élec, Ahmed 16/10/2026) ; PROSYB y amène fibre + liaisons caméras et installe le matériel. Pose/MO à ajouter.</t>
        </is>
      </c>
    </row>
    <row r="76">
      <c r="A76" s="6" t="n"/>
      <c r="B76" s="6" t="inlineStr">
        <is>
          <t>Enregistreur NVR marque HIKVISION</t>
        </is>
      </c>
      <c r="C76" s="6" t="inlineStr">
        <is>
          <t>Ens</t>
        </is>
      </c>
      <c r="D76" s="6" t="n">
        <v>1</v>
      </c>
      <c r="E76" s="8" t="n">
        <v>2252.12</v>
      </c>
      <c r="F76" s="8">
        <f>D76*E76</f>
        <v/>
      </c>
      <c r="G76" s="6" t="inlineStr">
        <is>
          <t>Fourniture CCF devis 313371 du 12/10/2026 : NVR 32 canaux (706,67€) + HDD 20TB (1545,45€)</t>
        </is>
      </c>
    </row>
    <row r="77">
      <c r="A77" s="6" t="n"/>
      <c r="B77" s="6" t="inlineStr">
        <is>
          <t>Paramétrage / Logiciel (analyse comportementale et port des EPI, intrusion périphérique)</t>
        </is>
      </c>
      <c r="C77" s="6" t="inlineStr">
        <is>
          <t>Ens</t>
        </is>
      </c>
      <c r="D77" s="6" t="n">
        <v>1</v>
      </c>
      <c r="E77" s="8" t="n">
        <v>933.77</v>
      </c>
      <c r="F77" s="8">
        <f>D77*E77</f>
        <v/>
      </c>
      <c r="G77" s="6" t="inlineStr">
        <is>
          <t>Fourniture CCF devis 313371 du 12/10/2026 : unité de supervision PCAM Inspiron 13 (933,77€)</t>
        </is>
      </c>
    </row>
    <row r="78">
      <c r="A78" s="6" t="n"/>
      <c r="B78" s="6" t="inlineStr">
        <is>
          <t>Recettage cuivre</t>
        </is>
      </c>
      <c r="C78" s="6" t="inlineStr">
        <is>
          <t>Ens</t>
        </is>
      </c>
      <c r="D78" s="6" t="n">
        <v>1</v>
      </c>
      <c r="E78" s="8" t="n"/>
      <c r="F78" s="8">
        <f>D78*E78</f>
        <v/>
      </c>
      <c r="G78" s="6" t="n"/>
    </row>
    <row r="80">
      <c r="A80" s="2" t="inlineStr">
        <is>
          <t>7</t>
        </is>
      </c>
      <c r="B80" s="2" t="inlineStr">
        <is>
          <t>GTB / GTE</t>
        </is>
      </c>
      <c r="C80" s="2" t="n"/>
      <c r="D80" s="2" t="n"/>
      <c r="E80" s="3" t="n"/>
      <c r="F80" s="3" t="n"/>
      <c r="G80" s="2" t="n"/>
    </row>
    <row r="81">
      <c r="A81" s="6" t="n"/>
      <c r="B81" s="6" t="inlineStr">
        <is>
          <t>Fourniture, pose et raccordement automate WAGO avec interface Ethernet modbus TCP/IP TGBT Hub 1, Hub 2 et Hub 3</t>
        </is>
      </c>
      <c r="C81" s="6" t="inlineStr">
        <is>
          <t>U</t>
        </is>
      </c>
      <c r="D81" s="6" t="n">
        <v>3</v>
      </c>
      <c r="E81" s="8" t="n"/>
      <c r="F81" s="8">
        <f>D81*E81</f>
        <v/>
      </c>
      <c r="G81" s="6" t="n"/>
    </row>
    <row r="82">
      <c r="A82" s="6" t="n"/>
      <c r="B82" s="6" t="inlineStr">
        <is>
          <t>Fourniture, pose et raccordement alimentation automate WAGO</t>
        </is>
      </c>
      <c r="C82" s="6" t="inlineStr">
        <is>
          <t>U</t>
        </is>
      </c>
      <c r="D82" s="6" t="n">
        <v>3</v>
      </c>
      <c r="E82" s="8" t="n"/>
      <c r="F82" s="8">
        <f>D82*E82</f>
        <v/>
      </c>
      <c r="G82" s="6" t="n"/>
    </row>
    <row r="83">
      <c r="A83" s="6" t="n"/>
      <c r="B83" s="6" t="inlineStr">
        <is>
          <t>Fourniture, pose et raccordement liaison WAGO vers switch GTB</t>
        </is>
      </c>
      <c r="C83" s="6" t="inlineStr">
        <is>
          <t>U</t>
        </is>
      </c>
      <c r="D83" s="6" t="n">
        <v>3</v>
      </c>
      <c r="E83" s="8" t="n"/>
      <c r="F83" s="8">
        <f>D83*E83</f>
        <v/>
      </c>
      <c r="G83" s="6" t="n"/>
    </row>
    <row r="84">
      <c r="A84" s="6" t="n"/>
      <c r="B84" s="6" t="inlineStr">
        <is>
          <t>Fourniture, pose et raccordement liaison interne contacts SD vers automate WAGO dans les TGBT Hub 1, Hub 2 et Hub 3</t>
        </is>
      </c>
      <c r="C84" s="6" t="inlineStr">
        <is>
          <t>U</t>
        </is>
      </c>
      <c r="D84" s="6" t="n">
        <v>3</v>
      </c>
      <c r="E84" s="8" t="n"/>
      <c r="F84" s="8">
        <f>D84*E84</f>
        <v/>
      </c>
      <c r="G84" s="6" t="n"/>
    </row>
    <row r="85">
      <c r="A85" s="6" t="n"/>
      <c r="B85" s="6" t="inlineStr">
        <is>
          <t>Fourniture, pose et raccordement liaison interne compteur d'énergie TGBT Hub 1, 2 et 3 vers automate WAGO</t>
        </is>
      </c>
      <c r="C85" s="6" t="inlineStr">
        <is>
          <t>U</t>
        </is>
      </c>
      <c r="D85" s="6" t="n">
        <v>3</v>
      </c>
      <c r="E85" s="8" t="n"/>
      <c r="F85" s="8">
        <f>D85*E85</f>
        <v/>
      </c>
      <c r="G85" s="6" t="n"/>
    </row>
    <row r="86">
      <c r="A86" s="6" t="n"/>
      <c r="B86" s="6" t="inlineStr">
        <is>
          <t>Fourniture, pose et raccordement ordinateur fixe avec 2 écrans au niveau du poste de garde</t>
        </is>
      </c>
      <c r="C86" s="6" t="inlineStr">
        <is>
          <t>U</t>
        </is>
      </c>
      <c r="D86" s="6" t="n">
        <v>1</v>
      </c>
      <c r="E86" s="8" t="n"/>
      <c r="F86" s="8">
        <f>D86*E86</f>
        <v/>
      </c>
      <c r="G86" s="6" t="n"/>
    </row>
    <row r="87">
      <c r="A87" s="6" t="n"/>
      <c r="B87" s="6" t="inlineStr">
        <is>
          <t>Paramétrage / Logiciel avec historisation (Licence, dashboards consos, alertes SMS/Mail)</t>
        </is>
      </c>
      <c r="C87" s="6" t="inlineStr">
        <is>
          <t>Ens</t>
        </is>
      </c>
      <c r="D87" s="6" t="n">
        <v>1</v>
      </c>
      <c r="E87" s="8" t="n"/>
      <c r="F87" s="8">
        <f>D87*E87</f>
        <v/>
      </c>
      <c r="G8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2026-10-16T15:00:55Z</dcterms:created>
  <dcterms:modified xmlns:dcterms="http://purl.org/dc/terms/" xmlns:xsi="http://www.w3.org/2001/XMLSchema-instance" xsi:type="dcterms:W3CDTF">2026-10-16T15:00:55Z</dcterms:modified>
</cp:coreProperties>
</file>